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040" tabRatio="540" activeTab="2"/>
  </bookViews>
  <sheets>
    <sheet name="PDF COMPLEXO" sheetId="11" r:id="rId1"/>
    <sheet name="PDF SIMPLES" sheetId="10" r:id="rId2"/>
    <sheet name="BANCO DE DADOS" sheetId="1" r:id="rId3"/>
    <sheet name="ENTRADA" sheetId="6" r:id="rId4"/>
    <sheet name="COBERTURA" sheetId="4" r:id="rId5"/>
    <sheet name="PILARES" sheetId="2" r:id="rId6"/>
    <sheet name="CÁLICES" sheetId="8" r:id="rId7"/>
    <sheet name="FECHAMENTOS" sheetId="7" r:id="rId8"/>
    <sheet name="VIGAS" sheetId="3" r:id="rId9"/>
    <sheet name="LAJE" sheetId="5" r:id="rId10"/>
    <sheet name="PORTÃO" sheetId="9" r:id="rId11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1"/>
  <c r="I13" i="7"/>
  <c r="C51" i="6"/>
  <c r="D7"/>
  <c r="F6" i="1" l="1"/>
  <c r="C53" i="6"/>
  <c r="C43"/>
  <c r="D43" s="1"/>
  <c r="C3" i="7"/>
  <c r="G15" s="1"/>
  <c r="Q7" i="2"/>
  <c r="D5" i="4"/>
  <c r="C24" s="1"/>
  <c r="C36" i="6"/>
  <c r="C35"/>
  <c r="C42"/>
  <c r="D42" s="1"/>
  <c r="D12" i="2"/>
  <c r="B28" i="4"/>
  <c r="D10" i="6"/>
  <c r="C8" i="11" s="1"/>
  <c r="C18" i="4"/>
  <c r="D3" i="6"/>
  <c r="C59" s="1"/>
  <c r="C61" s="1"/>
  <c r="U13" i="1"/>
  <c r="V11"/>
  <c r="T11"/>
  <c r="V10"/>
  <c r="T10"/>
  <c r="T9"/>
  <c r="V9" s="1"/>
  <c r="V8"/>
  <c r="T8"/>
  <c r="T7"/>
  <c r="V7" s="1"/>
  <c r="T6"/>
  <c r="V6" s="1"/>
  <c r="V5"/>
  <c r="V13" s="1"/>
  <c r="T5"/>
  <c r="H8" i="3" l="1"/>
  <c r="F4" i="8"/>
  <c r="G5" i="7"/>
  <c r="H9" i="3"/>
  <c r="F11" i="1"/>
  <c r="F12"/>
  <c r="D2" i="6"/>
  <c r="C11" i="11" s="1"/>
  <c r="F34" i="1"/>
  <c r="C51" i="4" s="1"/>
  <c r="F33" i="1"/>
  <c r="F32"/>
  <c r="F31"/>
  <c r="F30"/>
  <c r="F29"/>
  <c r="F28"/>
  <c r="C34" i="4" s="1"/>
  <c r="F27" i="1"/>
  <c r="F26"/>
  <c r="F25"/>
  <c r="F24"/>
  <c r="F23"/>
  <c r="F22"/>
  <c r="F21"/>
  <c r="F20"/>
  <c r="F19"/>
  <c r="M16"/>
  <c r="F18"/>
  <c r="F17"/>
  <c r="M14"/>
  <c r="F16"/>
  <c r="F15"/>
  <c r="M12"/>
  <c r="L12"/>
  <c r="F14"/>
  <c r="M11"/>
  <c r="L11"/>
  <c r="F13"/>
  <c r="M10"/>
  <c r="L10"/>
  <c r="F10"/>
  <c r="M9"/>
  <c r="L9"/>
  <c r="F9"/>
  <c r="M8"/>
  <c r="L8"/>
  <c r="F8"/>
  <c r="M7"/>
  <c r="L7"/>
  <c r="F7"/>
  <c r="M6"/>
  <c r="L6"/>
  <c r="M5"/>
  <c r="L5"/>
  <c r="F5"/>
  <c r="B5" i="4"/>
  <c r="B20" i="11"/>
  <c r="C18"/>
  <c r="C13"/>
  <c r="C7"/>
  <c r="C9" i="4" l="1"/>
  <c r="C10"/>
  <c r="C28"/>
  <c r="C12" i="2"/>
  <c r="H5" i="7"/>
  <c r="C8" i="8"/>
  <c r="E6"/>
  <c r="E7"/>
  <c r="D7"/>
  <c r="C4"/>
  <c r="C13" i="10"/>
  <c r="C11"/>
  <c r="C7"/>
  <c r="D8" i="6"/>
  <c r="C11" i="4" l="1"/>
  <c r="C14" s="1"/>
  <c r="C15" s="1"/>
  <c r="C16" s="1"/>
  <c r="C43"/>
  <c r="B17" i="11"/>
  <c r="B18" i="10"/>
  <c r="C12"/>
  <c r="C12" i="11"/>
  <c r="C21" i="4"/>
  <c r="B23" i="10"/>
  <c r="C12" i="3"/>
  <c r="G9" i="7"/>
  <c r="I9" s="1"/>
  <c r="H8"/>
  <c r="B5" i="5"/>
  <c r="D35" i="6" s="1"/>
  <c r="C10" i="3"/>
  <c r="C30" i="4" l="1"/>
  <c r="C36"/>
  <c r="AF7" i="2"/>
  <c r="C18" l="1"/>
  <c r="C10" i="8"/>
  <c r="C11" s="1"/>
  <c r="C6" i="7"/>
  <c r="C5"/>
  <c r="C54" i="6"/>
  <c r="C55" s="1"/>
  <c r="C37" i="4"/>
  <c r="B16" i="10"/>
  <c r="AF7" i="3"/>
  <c r="AJ7" s="1"/>
  <c r="W8"/>
  <c r="W9"/>
  <c r="W7"/>
  <c r="C20" i="7"/>
  <c r="C17"/>
  <c r="C21" s="1"/>
  <c r="C9" i="9"/>
  <c r="C11" s="1"/>
  <c r="C8"/>
  <c r="C50" i="4"/>
  <c r="AJ7" i="2"/>
  <c r="M8" i="3"/>
  <c r="M9"/>
  <c r="M10"/>
  <c r="M7"/>
  <c r="F7"/>
  <c r="B22" i="10"/>
  <c r="I7" i="3"/>
  <c r="E8"/>
  <c r="E9"/>
  <c r="E7"/>
  <c r="C8"/>
  <c r="C35" i="4"/>
  <c r="C7" i="7"/>
  <c r="W7" i="2"/>
  <c r="X7" s="1"/>
  <c r="M8"/>
  <c r="M7"/>
  <c r="P7" s="1"/>
  <c r="R7" s="1"/>
  <c r="T8"/>
  <c r="T7"/>
  <c r="F7"/>
  <c r="I7"/>
  <c r="G18" i="7"/>
  <c r="G27"/>
  <c r="G28"/>
  <c r="C38" i="6" l="1"/>
  <c r="D38" s="1"/>
  <c r="C37"/>
  <c r="D37" s="1"/>
  <c r="C33"/>
  <c r="D33" s="1"/>
  <c r="B19" i="10"/>
  <c r="C8" i="7"/>
  <c r="C38" i="4"/>
  <c r="C39" s="1"/>
  <c r="AC7" i="3"/>
  <c r="T8"/>
  <c r="T7"/>
  <c r="AC7" i="2"/>
  <c r="C13"/>
  <c r="C45" i="4" l="1"/>
  <c r="C47" s="1"/>
  <c r="C29" i="6" s="1"/>
  <c r="D29" s="1"/>
  <c r="C19" i="4"/>
  <c r="C23" s="1"/>
  <c r="C25" s="1"/>
  <c r="C26" i="6" s="1"/>
  <c r="B19" i="11"/>
  <c r="G20" i="7"/>
  <c r="C31" i="4"/>
  <c r="C27" i="6" s="1"/>
  <c r="D27" s="1"/>
  <c r="D26" l="1"/>
  <c r="C9" i="7"/>
  <c r="C31" i="6" s="1"/>
  <c r="D31" s="1"/>
  <c r="Q10" i="3"/>
  <c r="P10"/>
  <c r="N10"/>
  <c r="C8" i="2"/>
  <c r="C52" i="4"/>
  <c r="C30" i="6" s="1"/>
  <c r="D30" s="1"/>
  <c r="C7" i="3"/>
  <c r="C6"/>
  <c r="R10" l="1"/>
  <c r="S10" s="1"/>
  <c r="U10" s="1"/>
  <c r="C18"/>
  <c r="X9"/>
  <c r="Z9" s="1"/>
  <c r="Q9"/>
  <c r="P9"/>
  <c r="N9"/>
  <c r="X8"/>
  <c r="Z8" s="1"/>
  <c r="Q8"/>
  <c r="P8"/>
  <c r="N8"/>
  <c r="X7"/>
  <c r="Z7" s="1"/>
  <c r="Q7"/>
  <c r="P7"/>
  <c r="N7"/>
  <c r="Z7" i="2"/>
  <c r="Q8"/>
  <c r="N8"/>
  <c r="P8"/>
  <c r="N7"/>
  <c r="C7"/>
  <c r="C6"/>
  <c r="C10" s="1"/>
  <c r="R8" l="1"/>
  <c r="S8" s="1"/>
  <c r="U8" s="1"/>
  <c r="R8" i="3"/>
  <c r="S8" s="1"/>
  <c r="U8" s="1"/>
  <c r="R7"/>
  <c r="S7" s="1"/>
  <c r="U7" s="1"/>
  <c r="R9"/>
  <c r="S9" s="1"/>
  <c r="U9" s="1"/>
  <c r="E7" i="2"/>
  <c r="G7" s="1"/>
  <c r="H7" s="1"/>
  <c r="G9" i="3"/>
  <c r="G8"/>
  <c r="G7"/>
  <c r="H7" s="1"/>
  <c r="S7" i="2"/>
  <c r="U7" s="1"/>
  <c r="C16" i="3" l="1"/>
  <c r="C16" i="2"/>
  <c r="C14" i="7" l="1"/>
  <c r="C22" s="1"/>
  <c r="C40" i="4"/>
  <c r="G7" i="7" l="1"/>
  <c r="F7" i="8"/>
  <c r="F6"/>
  <c r="G6" i="7"/>
  <c r="I6" s="1"/>
  <c r="F8" i="8"/>
  <c r="AH7" i="3"/>
  <c r="AK7" s="1"/>
  <c r="C19" s="1"/>
  <c r="AA9"/>
  <c r="AB9" s="1"/>
  <c r="AD9" s="1"/>
  <c r="AA8"/>
  <c r="AB8" s="1"/>
  <c r="AD8" s="1"/>
  <c r="AA7"/>
  <c r="AB7" s="1"/>
  <c r="AD7" s="1"/>
  <c r="C28" i="6"/>
  <c r="AH7" i="2"/>
  <c r="AA7"/>
  <c r="F9" i="8" l="1"/>
  <c r="D28" i="6"/>
  <c r="J9" i="3"/>
  <c r="J8"/>
  <c r="J7"/>
  <c r="C17"/>
  <c r="G8" i="7"/>
  <c r="I8" s="1"/>
  <c r="I7"/>
  <c r="J7" i="2"/>
  <c r="I5" i="7"/>
  <c r="AK7" i="2"/>
  <c r="C19" s="1"/>
  <c r="AB7"/>
  <c r="AD7" s="1"/>
  <c r="C17" s="1"/>
  <c r="C15" i="3" l="1"/>
  <c r="C22" s="1"/>
  <c r="C48" i="6"/>
  <c r="C15" i="2"/>
  <c r="C22" s="1"/>
  <c r="C23" s="1"/>
  <c r="I10" i="7"/>
  <c r="I11" s="1"/>
  <c r="C23" i="3" l="1"/>
  <c r="C32" i="6"/>
  <c r="C41" s="1"/>
  <c r="C44" s="1"/>
  <c r="C45" s="1"/>
  <c r="C24" i="3"/>
  <c r="C24" i="2"/>
  <c r="D36" i="6" l="1"/>
  <c r="D32"/>
  <c r="C46" l="1"/>
  <c r="D44"/>
  <c r="D45" s="1"/>
  <c r="D46" s="1"/>
</calcChain>
</file>

<file path=xl/sharedStrings.xml><?xml version="1.0" encoding="utf-8"?>
<sst xmlns="http://schemas.openxmlformats.org/spreadsheetml/2006/main" count="586" uniqueCount="310">
  <si>
    <t>BANCO DE DADOS</t>
  </si>
  <si>
    <t>FERRO ø</t>
  </si>
  <si>
    <t xml:space="preserve">TELHA ISOPOR E MANTA </t>
  </si>
  <si>
    <t>PERFIL U 75mm  2,00</t>
  </si>
  <si>
    <t>PERFIL U 75,mm 2,25</t>
  </si>
  <si>
    <t>PERFIL U 75 mm 2,65</t>
  </si>
  <si>
    <t>PERFIL U 68mm 2,00</t>
  </si>
  <si>
    <t>PERFIL U 68mm 2,25</t>
  </si>
  <si>
    <t>PERFIL U 100mm 2,00</t>
  </si>
  <si>
    <t xml:space="preserve">CHAPA </t>
  </si>
  <si>
    <t>PERFIL  U 100mm2,25</t>
  </si>
  <si>
    <t>PERFIL U 100mm2,65</t>
  </si>
  <si>
    <t>BARRA RED 1/4 VERGA</t>
  </si>
  <si>
    <t>BARRA RED 5/16 VERGA</t>
  </si>
  <si>
    <t>TIRANTE</t>
  </si>
  <si>
    <t xml:space="preserve">CONCRETO </t>
  </si>
  <si>
    <t>Valor total</t>
  </si>
  <si>
    <t>CIMENTO</t>
  </si>
  <si>
    <t>AREIA</t>
  </si>
  <si>
    <t>BRITA/PÓ</t>
  </si>
  <si>
    <t>DESMOLDANTE</t>
  </si>
  <si>
    <t xml:space="preserve"> </t>
  </si>
  <si>
    <t>TELHA SIMPLES</t>
  </si>
  <si>
    <t>TELHA COM ISOPOR</t>
  </si>
  <si>
    <t>DIMENSÃO</t>
  </si>
  <si>
    <t>75X2</t>
  </si>
  <si>
    <t>68X2</t>
  </si>
  <si>
    <t>92X2</t>
  </si>
  <si>
    <t>100X2</t>
  </si>
  <si>
    <t>75X2,25</t>
  </si>
  <si>
    <t>75X2,65</t>
  </si>
  <si>
    <t>68X2,25</t>
  </si>
  <si>
    <t>92X2,25</t>
  </si>
  <si>
    <t>100X2,25</t>
  </si>
  <si>
    <t>100X2,65</t>
  </si>
  <si>
    <t>comprimento</t>
  </si>
  <si>
    <t>ø da barra</t>
  </si>
  <si>
    <t>ÁREA</t>
  </si>
  <si>
    <t>26X30</t>
  </si>
  <si>
    <t>25X40</t>
  </si>
  <si>
    <t>PILARES</t>
  </si>
  <si>
    <t>VIGA</t>
  </si>
  <si>
    <t>50X22</t>
  </si>
  <si>
    <t>60X22</t>
  </si>
  <si>
    <t>17X27</t>
  </si>
  <si>
    <t>valor</t>
  </si>
  <si>
    <t>m²</t>
  </si>
  <si>
    <t xml:space="preserve">metragem </t>
  </si>
  <si>
    <t>m</t>
  </si>
  <si>
    <t>placa</t>
  </si>
  <si>
    <t>area das placas</t>
  </si>
  <si>
    <t>kg</t>
  </si>
  <si>
    <t>30x20</t>
  </si>
  <si>
    <t>,</t>
  </si>
  <si>
    <t>ORÇAMENTO (VÁLIDO POR 10 DIAS)</t>
  </si>
  <si>
    <t xml:space="preserve">CLIENTE: </t>
  </si>
  <si>
    <t xml:space="preserve">ENDEREÇO:  </t>
  </si>
  <si>
    <t xml:space="preserve">ÁREA DE </t>
  </si>
  <si>
    <t>PÉ DIREITO</t>
  </si>
  <si>
    <t>contraventamento em barra redonda</t>
  </si>
  <si>
    <t xml:space="preserve">VALOR TOTAL DE: </t>
  </si>
  <si>
    <t>Inclui:</t>
  </si>
  <si>
    <t>• PAGAMENTO:</t>
  </si>
  <si>
    <t>• 25% NO INICIO DA OBRA;</t>
  </si>
  <si>
    <t>• 50% DE ENTRADA NA ASSINATURA DO CONTRATO;</t>
  </si>
  <si>
    <t>• PRAZO:</t>
  </si>
  <si>
    <t>Em caso de projeto, 90 dias após a entrega do projeto;</t>
  </si>
  <si>
    <t>• 25% NA CONCLUSÃO DA OBRA;</t>
  </si>
  <si>
    <t>• Agregados e cimento para fundação por conta do contratante</t>
  </si>
  <si>
    <t>se a fundação exceder 5 metros fica a custo do cliente</t>
  </si>
  <si>
    <t>metro</t>
  </si>
  <si>
    <t xml:space="preserve">GALPÃO PRÉ-MOLDADO </t>
  </si>
  <si>
    <t>2 eitão fechado em aluzinco Tp40</t>
  </si>
  <si>
    <t>•  Sem piso, sem calha, sem fechamento e sem esquadrias</t>
  </si>
  <si>
    <t>PERFIL U 100mm 3</t>
  </si>
  <si>
    <t>100X3</t>
  </si>
  <si>
    <t>terças metálicas enrrigecidas perfil 75mm/2mm em pintura sintética</t>
  </si>
  <si>
    <t>ART de fabricação e montagem, frete incluso</t>
  </si>
  <si>
    <t>Canoinhas - SC</t>
  </si>
  <si>
    <t>TELHA BANDEJA</t>
  </si>
  <si>
    <t>TELHA SANDUICHE</t>
  </si>
  <si>
    <t>90 dias úteis após a assinatura do contrato;</t>
  </si>
  <si>
    <t>Não inclui:</t>
  </si>
  <si>
    <t>CHAPA FRIZADA</t>
  </si>
  <si>
    <t>CUMEEIRA</t>
  </si>
  <si>
    <t>MEDIDA DE</t>
  </si>
  <si>
    <t>Inclui: Cobertura</t>
  </si>
  <si>
    <t xml:space="preserve">perfil de </t>
  </si>
  <si>
    <t>vão (m)</t>
  </si>
  <si>
    <t>perfil (mm)</t>
  </si>
  <si>
    <t>interno (mm)</t>
  </si>
  <si>
    <t>19+</t>
  </si>
  <si>
    <t>25+</t>
  </si>
  <si>
    <t>(mm)</t>
  </si>
  <si>
    <t>perfis para tesouras</t>
  </si>
  <si>
    <t>TELHA SIMPLES TP 25 Pintada</t>
  </si>
  <si>
    <t>PERFIL U 75 mm 3</t>
  </si>
  <si>
    <t>75X3</t>
  </si>
  <si>
    <t>PERFIL U 68mm 3</t>
  </si>
  <si>
    <t>68X23</t>
  </si>
  <si>
    <t>92X3</t>
  </si>
  <si>
    <t>TERÇA ENR 75mm 2,00</t>
  </si>
  <si>
    <t>TERÇA ENR 75mm 2,25</t>
  </si>
  <si>
    <t>TERÇA ENR 75mm 2,65</t>
  </si>
  <si>
    <t>TELHA+EPS+PINTADA</t>
  </si>
  <si>
    <t>TELHA+MANTA</t>
  </si>
  <si>
    <t>ACELERADOR (SECANTE)</t>
  </si>
  <si>
    <t>ADITIVO 730 CAA SUPERPLASTIFICANTE</t>
  </si>
  <si>
    <t>CIDADE</t>
  </si>
  <si>
    <t>ESTADO</t>
  </si>
  <si>
    <t>DISTÂNCIA (KM)</t>
  </si>
  <si>
    <t>PORTO UNIÃO</t>
  </si>
  <si>
    <t>SC</t>
  </si>
  <si>
    <t>UNIÃO DA VITÓRIA</t>
  </si>
  <si>
    <t>PR</t>
  </si>
  <si>
    <t>CANOINHAS</t>
  </si>
  <si>
    <t>TRÊS BARRAS</t>
  </si>
  <si>
    <t>SÃO MATEUS DO SUL</t>
  </si>
  <si>
    <t>BELA VISTA DO TOLDO</t>
  </si>
  <si>
    <t>PAULA FREITAS</t>
  </si>
  <si>
    <t>PAULA FRONTIN</t>
  </si>
  <si>
    <t>RIO AZUL</t>
  </si>
  <si>
    <t>MALLET</t>
  </si>
  <si>
    <t>CRUZ MACHADO</t>
  </si>
  <si>
    <t>PAPANDUVA</t>
  </si>
  <si>
    <t>MATOS COSTA</t>
  </si>
  <si>
    <t>TIMBÓ GRANDE</t>
  </si>
  <si>
    <t>MAFRA</t>
  </si>
  <si>
    <t>CALMON</t>
  </si>
  <si>
    <t>MAJOR VIEIRA</t>
  </si>
  <si>
    <t>SANTA CECÍLIA</t>
  </si>
  <si>
    <t>BITURUNA</t>
  </si>
  <si>
    <t>IRINEÓPOLIS</t>
  </si>
  <si>
    <t>SIM</t>
  </si>
  <si>
    <t>NÃO</t>
  </si>
  <si>
    <t>DUAS ÁGUAS</t>
  </si>
  <si>
    <t>Platibanda</t>
  </si>
  <si>
    <t>LAJE</t>
  </si>
  <si>
    <t xml:space="preserve">PLACAS </t>
  </si>
  <si>
    <t>-</t>
  </si>
  <si>
    <t>Perímetro</t>
  </si>
  <si>
    <t>PERFIL U 92 mm 3</t>
  </si>
  <si>
    <t>PERFIL U 92 mm 2,25</t>
  </si>
  <si>
    <t>PERFIL U 92 mm 2,00</t>
  </si>
  <si>
    <t>ESPAÇADORES</t>
  </si>
  <si>
    <t>PÓ</t>
  </si>
  <si>
    <t>ÁGUA</t>
  </si>
  <si>
    <t>TOTAL POR M³</t>
  </si>
  <si>
    <t>TELA 4,2</t>
  </si>
  <si>
    <t>MEDIDA</t>
  </si>
  <si>
    <t>FRENTE</t>
  </si>
  <si>
    <t>LATERAL</t>
  </si>
  <si>
    <t xml:space="preserve">ALTURA LIVRE </t>
  </si>
  <si>
    <t xml:space="preserve">FRENTE </t>
  </si>
  <si>
    <t>LADO</t>
  </si>
  <si>
    <t>CLIENTE</t>
  </si>
  <si>
    <t>ENDEREÇO</t>
  </si>
  <si>
    <t>PORTA</t>
  </si>
  <si>
    <t>PROJETO</t>
  </si>
  <si>
    <t>PLATIBANDA</t>
  </si>
  <si>
    <t>COBERTURA</t>
  </si>
  <si>
    <t>TELHA</t>
  </si>
  <si>
    <t>JANELA</t>
  </si>
  <si>
    <t>FECHAMENTO</t>
  </si>
  <si>
    <t>TESOURA</t>
  </si>
  <si>
    <t>TERÇA</t>
  </si>
  <si>
    <t>EITÃO</t>
  </si>
  <si>
    <t>PILAR</t>
  </si>
  <si>
    <t>CÁLICE</t>
  </si>
  <si>
    <t>PLACA</t>
  </si>
  <si>
    <t>FRETE</t>
  </si>
  <si>
    <t>TOTAL CUSTO</t>
  </si>
  <si>
    <t>DOBRANDO</t>
  </si>
  <si>
    <t xml:space="preserve">COM NOTA </t>
  </si>
  <si>
    <t>VALOR POR m²</t>
  </si>
  <si>
    <t>VALOR SÓ COBERTURA</t>
  </si>
  <si>
    <t>KM</t>
  </si>
  <si>
    <t>VALOR POR KM</t>
  </si>
  <si>
    <t>Nº DE VIAGENS</t>
  </si>
  <si>
    <t>VALOR DE IDA</t>
  </si>
  <si>
    <t>VALOR IDA E VOLTA</t>
  </si>
  <si>
    <t>VALOR DO PROJETO</t>
  </si>
  <si>
    <t>FUNDAÇÃO</t>
  </si>
  <si>
    <t xml:space="preserve">TESOURAS </t>
  </si>
  <si>
    <t>PLACAS</t>
  </si>
  <si>
    <t>LAJES</t>
  </si>
  <si>
    <t xml:space="preserve">VIGAS </t>
  </si>
  <si>
    <t>Altura</t>
  </si>
  <si>
    <t>Lado</t>
  </si>
  <si>
    <t>Medida inclinação</t>
  </si>
  <si>
    <t>Qntd perfil</t>
  </si>
  <si>
    <t>Qntd perfil externo</t>
  </si>
  <si>
    <t xml:space="preserve">Qual perfil </t>
  </si>
  <si>
    <t>Valor perfil externo</t>
  </si>
  <si>
    <t>Qntd perfil interno</t>
  </si>
  <si>
    <t>Valor perfil interno</t>
  </si>
  <si>
    <t xml:space="preserve">TELHA </t>
  </si>
  <si>
    <t>Custo por tesoura</t>
  </si>
  <si>
    <t>Qntd de tesoura</t>
  </si>
  <si>
    <t>Modelo de telha</t>
  </si>
  <si>
    <t>Metragem</t>
  </si>
  <si>
    <t>Valor</t>
  </si>
  <si>
    <t>Valor por metro</t>
  </si>
  <si>
    <t>Qntd 1 lado</t>
  </si>
  <si>
    <t>Qntd total</t>
  </si>
  <si>
    <t>Total de metros</t>
  </si>
  <si>
    <t xml:space="preserve">Qntd de terça </t>
  </si>
  <si>
    <t xml:space="preserve">Valor </t>
  </si>
  <si>
    <t>Área</t>
  </si>
  <si>
    <t>Valor por m2</t>
  </si>
  <si>
    <t>Custo</t>
  </si>
  <si>
    <t>Qntd de eitão</t>
  </si>
  <si>
    <t>Total</t>
  </si>
  <si>
    <t>Custo total</t>
  </si>
  <si>
    <t>Qual usado</t>
  </si>
  <si>
    <t>Número de pilar</t>
  </si>
  <si>
    <t>Metragem total</t>
  </si>
  <si>
    <t>CUSTO TOTAL</t>
  </si>
  <si>
    <t>Concreto</t>
  </si>
  <si>
    <t>Aço longitudinal</t>
  </si>
  <si>
    <t>Estribo</t>
  </si>
  <si>
    <t>Chapa</t>
  </si>
  <si>
    <t>Gancho</t>
  </si>
  <si>
    <t>Mão de obra</t>
  </si>
  <si>
    <t>Consolo</t>
  </si>
  <si>
    <t>TOTAL</t>
  </si>
  <si>
    <t>Por pilar</t>
  </si>
  <si>
    <t>Por metro</t>
  </si>
  <si>
    <t xml:space="preserve">Terreo </t>
  </si>
  <si>
    <t>Fundação</t>
  </si>
  <si>
    <t>Laje</t>
  </si>
  <si>
    <t>1° Pav</t>
  </si>
  <si>
    <t>CONCRETO</t>
  </si>
  <si>
    <t>Área base</t>
  </si>
  <si>
    <t>Comprimento</t>
  </si>
  <si>
    <t xml:space="preserve">Volume </t>
  </si>
  <si>
    <t xml:space="preserve">Custo </t>
  </si>
  <si>
    <t>AÇO LONGITUDINAL</t>
  </si>
  <si>
    <t>Número de barras</t>
  </si>
  <si>
    <t xml:space="preserve">Comprimento total </t>
  </si>
  <si>
    <t>Medida da barra de compra</t>
  </si>
  <si>
    <t xml:space="preserve">Valor por barra </t>
  </si>
  <si>
    <t>Valor pra compra da barra</t>
  </si>
  <si>
    <t>Custo por pilar</t>
  </si>
  <si>
    <t>AÇO ESTRIBO</t>
  </si>
  <si>
    <t>Comprimento do pilar</t>
  </si>
  <si>
    <t>Número de estribos</t>
  </si>
  <si>
    <t>Comprimento do estribo</t>
  </si>
  <si>
    <t>Comprimento total de barra</t>
  </si>
  <si>
    <t>Ferro ø5/m</t>
  </si>
  <si>
    <t>Valor por pilar</t>
  </si>
  <si>
    <t>GANCHO</t>
  </si>
  <si>
    <t>Número de ganchos</t>
  </si>
  <si>
    <t>Ferro</t>
  </si>
  <si>
    <t>Medida do gancho (m)</t>
  </si>
  <si>
    <t>Quantidade em metro</t>
  </si>
  <si>
    <t>Unidade</t>
  </si>
  <si>
    <t xml:space="preserve"> Concreto</t>
  </si>
  <si>
    <t>Estribos</t>
  </si>
  <si>
    <t>Malha</t>
  </si>
  <si>
    <t>Número de pilares</t>
  </si>
  <si>
    <t>Custo por m</t>
  </si>
  <si>
    <t>Venda</t>
  </si>
  <si>
    <t>Qntd</t>
  </si>
  <si>
    <t xml:space="preserve">PLATIBANDA </t>
  </si>
  <si>
    <t>PerÍmetro</t>
  </si>
  <si>
    <t>Total em metros</t>
  </si>
  <si>
    <t>Custo por m de zinco</t>
  </si>
  <si>
    <t>Para eitão</t>
  </si>
  <si>
    <t xml:space="preserve">Total </t>
  </si>
  <si>
    <t>Dobrando</t>
  </si>
  <si>
    <t>Qntd horizontal</t>
  </si>
  <si>
    <t>Metragem hor</t>
  </si>
  <si>
    <t>Qntd vertical</t>
  </si>
  <si>
    <t>Metragem vertical</t>
  </si>
  <si>
    <t>Metragem usada</t>
  </si>
  <si>
    <t>Barras 8mm</t>
  </si>
  <si>
    <t>Espaçadores</t>
  </si>
  <si>
    <t>Valor total de 5 metros</t>
  </si>
  <si>
    <t>Área das plcas</t>
  </si>
  <si>
    <t>Valor custo</t>
  </si>
  <si>
    <t xml:space="preserve">ÁREA DAS PLACAS EXTRAS </t>
  </si>
  <si>
    <t>Número de VIGAS</t>
  </si>
  <si>
    <t>VIGAS</t>
  </si>
  <si>
    <t>Pino</t>
  </si>
  <si>
    <t>Por viga</t>
  </si>
  <si>
    <t>Número de vigas</t>
  </si>
  <si>
    <t>Custo por viga</t>
  </si>
  <si>
    <t>Comprimento da viga</t>
  </si>
  <si>
    <t>MATERIAL</t>
  </si>
  <si>
    <t>VALOR UNITÁRIO</t>
  </si>
  <si>
    <t>VALOR POR m</t>
  </si>
  <si>
    <t>MEDIDA DE COMPRA DE BARRA(m)</t>
  </si>
  <si>
    <t>VALOR DE 6m</t>
  </si>
  <si>
    <t>MEDIDA DE COMPRA DA BARRA(m)</t>
  </si>
  <si>
    <t>VALOR TOTAL</t>
  </si>
  <si>
    <t xml:space="preserve">QNTD KG TRAÇO </t>
  </si>
  <si>
    <t>MEDIDA DE COMPRA kg/L</t>
  </si>
  <si>
    <t>VALOR POR kg / L</t>
  </si>
  <si>
    <t xml:space="preserve">PAREDE METÁLICA </t>
  </si>
  <si>
    <t>R$120,00m²</t>
  </si>
  <si>
    <t xml:space="preserve">UMA ÁGUA </t>
  </si>
  <si>
    <t xml:space="preserve">DUAS ÁGUAS </t>
  </si>
  <si>
    <t>PAULO FRONTIN</t>
  </si>
  <si>
    <t>P.U</t>
  </si>
  <si>
    <t>Qntd de vãos</t>
  </si>
  <si>
    <t>Q por vão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</si>
  <si>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</si>
  <si>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Inclui: </t>
  </si>
  <si>
    <t xml:space="preserve">26 pilares de 6m </t>
  </si>
</sst>
</file>

<file path=xl/styles.xml><?xml version="1.0" encoding="utf-8"?>
<styleSheet xmlns="http://schemas.openxmlformats.org/spreadsheetml/2006/main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&quot;R$&quot;\ #,##0.00"/>
    <numFmt numFmtId="166" formatCode="0.0000"/>
    <numFmt numFmtId="167" formatCode="0.0"/>
  </numFmts>
  <fonts count="14">
    <font>
      <sz val="11"/>
      <color rgb="FF000000"/>
      <name val="Calibri"/>
      <family val="2"/>
      <charset val="1"/>
    </font>
    <font>
      <sz val="48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6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  <charset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B4C7E7"/>
        <bgColor rgb="FFCCCCFF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666699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CCCC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 applyBorder="0" applyProtection="0"/>
    <xf numFmtId="0" fontId="5" fillId="3" borderId="0" applyBorder="0" applyProtection="0"/>
    <xf numFmtId="0" fontId="4" fillId="4" borderId="1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5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3" xfId="0" applyBorder="1"/>
    <xf numFmtId="0" fontId="0" fillId="0" borderId="6" xfId="0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165" fontId="0" fillId="0" borderId="7" xfId="0" applyNumberFormat="1" applyBorder="1"/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2" fontId="0" fillId="0" borderId="2" xfId="0" applyNumberForma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6" fontId="0" fillId="0" borderId="0" xfId="0" applyNumberFormat="1" applyAlignment="1">
      <alignment horizont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7" fillId="0" borderId="12" xfId="0" applyFont="1" applyBorder="1" applyAlignment="1">
      <alignment horizontal="left" vertical="center" wrapText="1"/>
    </xf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0" xfId="0" applyFont="1" applyAlignment="1">
      <alignment horizontal="left" vertical="center" wrapText="1"/>
    </xf>
    <xf numFmtId="0" fontId="0" fillId="5" borderId="2" xfId="0" applyFill="1" applyBorder="1"/>
    <xf numFmtId="43" fontId="0" fillId="0" borderId="2" xfId="4" applyFont="1" applyBorder="1"/>
    <xf numFmtId="43" fontId="0" fillId="0" borderId="0" xfId="4" applyFont="1"/>
    <xf numFmtId="43" fontId="0" fillId="0" borderId="3" xfId="4" applyFont="1" applyBorder="1"/>
    <xf numFmtId="0" fontId="0" fillId="0" borderId="2" xfId="4" applyNumberFormat="1" applyFont="1" applyBorder="1"/>
    <xf numFmtId="167" fontId="0" fillId="0" borderId="2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18" xfId="0" applyNumberFormat="1" applyBorder="1"/>
    <xf numFmtId="0" fontId="0" fillId="0" borderId="22" xfId="0" applyBorder="1"/>
    <xf numFmtId="166" fontId="0" fillId="0" borderId="16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43" fontId="0" fillId="0" borderId="0" xfId="4" applyFont="1" applyBorder="1"/>
    <xf numFmtId="43" fontId="0" fillId="0" borderId="20" xfId="4" applyFont="1" applyBorder="1"/>
    <xf numFmtId="0" fontId="0" fillId="0" borderId="14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44" fontId="0" fillId="0" borderId="18" xfId="5" applyFont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9" xfId="0" applyFont="1" applyBorder="1" applyAlignment="1">
      <alignment horizontal="left" vertical="center"/>
    </xf>
    <xf numFmtId="0" fontId="9" fillId="0" borderId="14" xfId="0" applyFont="1" applyBorder="1"/>
    <xf numFmtId="0" fontId="9" fillId="0" borderId="20" xfId="0" applyFont="1" applyBorder="1"/>
    <xf numFmtId="0" fontId="9" fillId="0" borderId="0" xfId="0" applyFont="1" applyAlignment="1">
      <alignment horizontal="left" vertical="center"/>
    </xf>
    <xf numFmtId="0" fontId="9" fillId="0" borderId="15" xfId="0" applyFont="1" applyBorder="1"/>
    <xf numFmtId="0" fontId="9" fillId="0" borderId="3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horizontal="right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167" fontId="9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4" xfId="0" applyFont="1" applyBorder="1" applyAlignment="1">
      <alignment horizontal="left" vertical="center"/>
    </xf>
    <xf numFmtId="0" fontId="9" fillId="0" borderId="0" xfId="0" applyFont="1" applyAlignment="1">
      <alignment horizontal="left" vertical="center" indent="5"/>
    </xf>
    <xf numFmtId="0" fontId="9" fillId="0" borderId="15" xfId="0" applyFont="1" applyBorder="1" applyAlignment="1">
      <alignment vertical="center"/>
    </xf>
    <xf numFmtId="165" fontId="10" fillId="0" borderId="16" xfId="0" applyNumberFormat="1" applyFont="1" applyBorder="1"/>
    <xf numFmtId="0" fontId="9" fillId="0" borderId="19" xfId="0" applyFont="1" applyBorder="1"/>
    <xf numFmtId="165" fontId="10" fillId="0" borderId="14" xfId="0" applyNumberFormat="1" applyFont="1" applyBorder="1"/>
    <xf numFmtId="0" fontId="9" fillId="0" borderId="3" xfId="0" applyFont="1" applyBorder="1" applyAlignment="1">
      <alignment horizontal="left" vertical="center" indent="2"/>
    </xf>
    <xf numFmtId="0" fontId="9" fillId="0" borderId="14" xfId="0" applyFont="1" applyBorder="1" applyAlignment="1">
      <alignment horizontal="left"/>
    </xf>
    <xf numFmtId="0" fontId="9" fillId="0" borderId="3" xfId="0" applyFont="1" applyBorder="1" applyAlignment="1">
      <alignment vertical="center"/>
    </xf>
    <xf numFmtId="0" fontId="9" fillId="0" borderId="0" xfId="0" applyFont="1" applyBorder="1"/>
    <xf numFmtId="0" fontId="9" fillId="0" borderId="19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0" xfId="0" applyAlignment="1"/>
    <xf numFmtId="0" fontId="0" fillId="0" borderId="31" xfId="0" applyBorder="1"/>
    <xf numFmtId="0" fontId="0" fillId="0" borderId="7" xfId="0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center" vertical="center"/>
    </xf>
    <xf numFmtId="0" fontId="3" fillId="0" borderId="0" xfId="0" applyFont="1" applyAlignment="1" applyProtection="1"/>
    <xf numFmtId="4" fontId="0" fillId="0" borderId="0" xfId="0" applyNumberFormat="1" applyAlignment="1" applyProtection="1"/>
    <xf numFmtId="0" fontId="0" fillId="7" borderId="0" xfId="0" applyFill="1" applyAlignment="1" applyProtection="1"/>
    <xf numFmtId="0" fontId="0" fillId="0" borderId="0" xfId="0" applyAlignment="1" applyProtection="1">
      <alignment wrapText="1"/>
    </xf>
    <xf numFmtId="0" fontId="0" fillId="0" borderId="0" xfId="0" applyAlignment="1" applyProtection="1">
      <alignment horizontal="center"/>
    </xf>
    <xf numFmtId="44" fontId="0" fillId="0" borderId="0" xfId="5" applyFont="1"/>
    <xf numFmtId="44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8" borderId="0" xfId="0" applyFill="1"/>
    <xf numFmtId="165" fontId="0" fillId="6" borderId="2" xfId="0" applyNumberFormat="1" applyFill="1" applyBorder="1"/>
    <xf numFmtId="0" fontId="0" fillId="0" borderId="2" xfId="0" applyFill="1" applyBorder="1"/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Border="1"/>
    <xf numFmtId="165" fontId="0" fillId="0" borderId="17" xfId="0" applyNumberFormat="1" applyBorder="1"/>
    <xf numFmtId="165" fontId="0" fillId="6" borderId="20" xfId="0" applyNumberFormat="1" applyFill="1" applyBorder="1"/>
    <xf numFmtId="165" fontId="0" fillId="6" borderId="2" xfId="0" applyNumberForma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6" borderId="14" xfId="0" applyNumberFormat="1" applyFill="1" applyBorder="1" applyAlignment="1">
      <alignment horizontal="center"/>
    </xf>
    <xf numFmtId="44" fontId="0" fillId="6" borderId="2" xfId="5" applyFont="1" applyFill="1" applyBorder="1"/>
    <xf numFmtId="0" fontId="0" fillId="0" borderId="4" xfId="0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0" fillId="5" borderId="18" xfId="0" applyFill="1" applyBorder="1"/>
    <xf numFmtId="165" fontId="0" fillId="8" borderId="2" xfId="0" applyNumberFormat="1" applyFill="1" applyBorder="1"/>
    <xf numFmtId="44" fontId="0" fillId="0" borderId="2" xfId="5" applyFont="1" applyBorder="1"/>
    <xf numFmtId="0" fontId="0" fillId="0" borderId="32" xfId="0" applyBorder="1"/>
    <xf numFmtId="0" fontId="0" fillId="0" borderId="33" xfId="0" applyBorder="1"/>
    <xf numFmtId="44" fontId="0" fillId="0" borderId="34" xfId="5" applyFont="1" applyBorder="1"/>
    <xf numFmtId="44" fontId="0" fillId="9" borderId="2" xfId="5" applyFont="1" applyFill="1" applyBorder="1"/>
    <xf numFmtId="0" fontId="0" fillId="10" borderId="2" xfId="0" applyFill="1" applyBorder="1"/>
    <xf numFmtId="165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5" fillId="13" borderId="2" xfId="2" applyFill="1" applyBorder="1" applyAlignment="1" applyProtection="1">
      <alignment horizontal="center"/>
    </xf>
    <xf numFmtId="0" fontId="5" fillId="14" borderId="2" xfId="2" applyFill="1" applyBorder="1" applyAlignment="1" applyProtection="1">
      <alignment horizontal="center"/>
    </xf>
    <xf numFmtId="0" fontId="5" fillId="16" borderId="2" xfId="2" applyFill="1" applyBorder="1" applyAlignment="1" applyProtection="1">
      <alignment horizontal="center"/>
    </xf>
    <xf numFmtId="0" fontId="5" fillId="17" borderId="2" xfId="2" applyFill="1" applyBorder="1" applyAlignment="1" applyProtection="1">
      <alignment horizontal="center"/>
    </xf>
    <xf numFmtId="0" fontId="0" fillId="17" borderId="2" xfId="2" applyFont="1" applyFill="1" applyBorder="1" applyAlignment="1" applyProtection="1">
      <alignment horizontal="center"/>
    </xf>
    <xf numFmtId="0" fontId="0" fillId="16" borderId="2" xfId="2" applyFont="1" applyFill="1" applyBorder="1" applyAlignment="1" applyProtection="1">
      <alignment horizontal="left"/>
    </xf>
    <xf numFmtId="0" fontId="0" fillId="13" borderId="2" xfId="2" applyFont="1" applyFill="1" applyBorder="1" applyAlignment="1" applyProtection="1">
      <alignment horizontal="left"/>
    </xf>
    <xf numFmtId="164" fontId="5" fillId="13" borderId="2" xfId="2" applyNumberFormat="1" applyFill="1" applyBorder="1" applyAlignment="1" applyProtection="1">
      <alignment horizontal="center"/>
    </xf>
    <xf numFmtId="164" fontId="0" fillId="15" borderId="2" xfId="0" applyNumberFormat="1" applyFill="1" applyBorder="1" applyAlignment="1" applyProtection="1"/>
    <xf numFmtId="164" fontId="5" fillId="14" borderId="2" xfId="2" applyNumberFormat="1" applyFill="1" applyBorder="1" applyAlignment="1" applyProtection="1">
      <alignment horizontal="center"/>
    </xf>
    <xf numFmtId="0" fontId="0" fillId="15" borderId="0" xfId="0" applyFill="1"/>
    <xf numFmtId="0" fontId="0" fillId="15" borderId="2" xfId="0" applyFill="1" applyBorder="1" applyAlignment="1" applyProtection="1"/>
    <xf numFmtId="0" fontId="12" fillId="19" borderId="2" xfId="0" applyFont="1" applyFill="1" applyBorder="1" applyAlignment="1" applyProtection="1">
      <alignment horizontal="center"/>
    </xf>
    <xf numFmtId="0" fontId="12" fillId="19" borderId="2" xfId="0" applyFont="1" applyFill="1" applyBorder="1" applyAlignment="1" applyProtection="1">
      <alignment horizontal="center" wrapText="1"/>
    </xf>
    <xf numFmtId="0" fontId="12" fillId="19" borderId="2" xfId="0" applyFont="1" applyFill="1" applyBorder="1" applyAlignment="1" applyProtection="1">
      <alignment wrapText="1"/>
    </xf>
    <xf numFmtId="0" fontId="13" fillId="20" borderId="2" xfId="1" applyFont="1" applyFill="1" applyBorder="1" applyAlignment="1" applyProtection="1">
      <alignment horizontal="left"/>
    </xf>
    <xf numFmtId="0" fontId="13" fillId="20" borderId="2" xfId="1" applyFont="1" applyFill="1" applyBorder="1" applyAlignment="1" applyProtection="1">
      <alignment horizontal="center" wrapText="1"/>
    </xf>
    <xf numFmtId="0" fontId="5" fillId="11" borderId="2" xfId="2" applyFill="1" applyBorder="1" applyAlignment="1" applyProtection="1">
      <alignment horizontal="left"/>
    </xf>
    <xf numFmtId="0" fontId="5" fillId="21" borderId="2" xfId="2" applyFill="1" applyBorder="1" applyAlignment="1" applyProtection="1">
      <alignment horizontal="left"/>
    </xf>
    <xf numFmtId="0" fontId="0" fillId="11" borderId="2" xfId="2" applyFont="1" applyFill="1" applyBorder="1" applyAlignment="1" applyProtection="1">
      <alignment horizontal="left"/>
    </xf>
    <xf numFmtId="0" fontId="0" fillId="21" borderId="2" xfId="2" applyFont="1" applyFill="1" applyBorder="1" applyAlignment="1" applyProtection="1">
      <alignment horizontal="left"/>
    </xf>
    <xf numFmtId="0" fontId="0" fillId="12" borderId="9" xfId="0" applyFill="1" applyBorder="1" applyAlignment="1">
      <alignment horizontal="left"/>
    </xf>
    <xf numFmtId="165" fontId="5" fillId="16" borderId="2" xfId="2" applyNumberFormat="1" applyFill="1" applyBorder="1" applyAlignment="1" applyProtection="1">
      <alignment horizontal="center"/>
    </xf>
    <xf numFmtId="165" fontId="5" fillId="22" borderId="2" xfId="2" applyNumberFormat="1" applyFill="1" applyBorder="1" applyAlignment="1" applyProtection="1">
      <alignment horizontal="center"/>
    </xf>
    <xf numFmtId="0" fontId="5" fillId="22" borderId="2" xfId="2" applyFill="1" applyBorder="1" applyAlignment="1" applyProtection="1">
      <alignment horizontal="center"/>
    </xf>
    <xf numFmtId="1" fontId="5" fillId="22" borderId="2" xfId="2" applyNumberFormat="1" applyFill="1" applyBorder="1" applyAlignment="1" applyProtection="1">
      <alignment horizontal="center"/>
    </xf>
    <xf numFmtId="1" fontId="5" fillId="16" borderId="2" xfId="2" applyNumberFormat="1" applyFill="1" applyBorder="1" applyAlignment="1" applyProtection="1">
      <alignment horizontal="center"/>
    </xf>
    <xf numFmtId="165" fontId="5" fillId="16" borderId="0" xfId="2" applyNumberFormat="1" applyFill="1" applyBorder="1" applyAlignment="1" applyProtection="1">
      <alignment horizontal="center"/>
    </xf>
    <xf numFmtId="0" fontId="0" fillId="18" borderId="9" xfId="0" applyFill="1" applyBorder="1"/>
    <xf numFmtId="165" fontId="0" fillId="18" borderId="9" xfId="0" applyNumberFormat="1" applyFill="1" applyBorder="1" applyAlignment="1">
      <alignment horizontal="right"/>
    </xf>
    <xf numFmtId="165" fontId="4" fillId="23" borderId="21" xfId="3" applyNumberFormat="1" applyFill="1" applyBorder="1" applyAlignment="1" applyProtection="1">
      <alignment horizontal="center"/>
    </xf>
    <xf numFmtId="0" fontId="13" fillId="20" borderId="2" xfId="1" applyFont="1" applyFill="1" applyBorder="1" applyAlignment="1" applyProtection="1">
      <alignment horizontal="left" wrapText="1"/>
    </xf>
    <xf numFmtId="0" fontId="0" fillId="18" borderId="2" xfId="0" applyFill="1" applyBorder="1" applyAlignment="1" applyProtection="1">
      <alignment horizontal="center"/>
    </xf>
    <xf numFmtId="165" fontId="0" fillId="6" borderId="2" xfId="0" applyNumberFormat="1" applyFill="1" applyBorder="1" applyAlignment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0" fontId="0" fillId="24" borderId="0" xfId="2" applyFont="1" applyFill="1" applyBorder="1" applyAlignment="1" applyProtection="1">
      <alignment horizontal="left"/>
    </xf>
    <xf numFmtId="0" fontId="0" fillId="6" borderId="2" xfId="0" applyFill="1" applyBorder="1"/>
    <xf numFmtId="0" fontId="0" fillId="26" borderId="2" xfId="0" applyFill="1" applyBorder="1"/>
    <xf numFmtId="0" fontId="0" fillId="26" borderId="2" xfId="0" applyFill="1" applyBorder="1" applyAlignment="1">
      <alignment horizontal="center" vertical="center"/>
    </xf>
    <xf numFmtId="0" fontId="0" fillId="8" borderId="2" xfId="0" applyFill="1" applyBorder="1"/>
    <xf numFmtId="0" fontId="0" fillId="10" borderId="4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8" borderId="0" xfId="0" applyFill="1" applyBorder="1"/>
    <xf numFmtId="0" fontId="0" fillId="6" borderId="35" xfId="0" applyFill="1" applyBorder="1"/>
    <xf numFmtId="0" fontId="0" fillId="26" borderId="19" xfId="0" applyFill="1" applyBorder="1" applyAlignment="1">
      <alignment horizontal="center"/>
    </xf>
    <xf numFmtId="0" fontId="0" fillId="26" borderId="14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44" fontId="0" fillId="26" borderId="2" xfId="5" applyFont="1" applyFill="1" applyBorder="1"/>
    <xf numFmtId="0" fontId="0" fillId="28" borderId="26" xfId="0" applyFill="1" applyBorder="1"/>
    <xf numFmtId="0" fontId="0" fillId="28" borderId="28" xfId="0" applyFill="1" applyBorder="1"/>
    <xf numFmtId="0" fontId="0" fillId="25" borderId="23" xfId="0" applyFill="1" applyBorder="1"/>
    <xf numFmtId="0" fontId="0" fillId="25" borderId="26" xfId="0" applyFill="1" applyBorder="1"/>
    <xf numFmtId="0" fontId="0" fillId="25" borderId="28" xfId="0" applyFill="1" applyBorder="1"/>
    <xf numFmtId="44" fontId="0" fillId="8" borderId="2" xfId="5" applyFont="1" applyFill="1" applyBorder="1"/>
    <xf numFmtId="0" fontId="7" fillId="10" borderId="2" xfId="0" applyFont="1" applyFill="1" applyBorder="1" applyAlignment="1">
      <alignment horizontal="center" vertical="center"/>
    </xf>
    <xf numFmtId="0" fontId="0" fillId="10" borderId="5" xfId="0" applyFill="1" applyBorder="1"/>
    <xf numFmtId="166" fontId="0" fillId="26" borderId="11" xfId="0" applyNumberFormat="1" applyFill="1" applyBorder="1" applyAlignment="1">
      <alignment vertical="center"/>
    </xf>
    <xf numFmtId="166" fontId="0" fillId="26" borderId="0" xfId="0" applyNumberFormat="1" applyFill="1"/>
    <xf numFmtId="166" fontId="0" fillId="26" borderId="14" xfId="0" applyNumberFormat="1" applyFill="1" applyBorder="1" applyAlignment="1">
      <alignment horizontal="center"/>
    </xf>
    <xf numFmtId="165" fontId="0" fillId="26" borderId="20" xfId="0" applyNumberForma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0" fontId="0" fillId="26" borderId="13" xfId="0" applyFill="1" applyBorder="1" applyAlignment="1">
      <alignment horizontal="center" vertical="center"/>
    </xf>
    <xf numFmtId="0" fontId="0" fillId="26" borderId="0" xfId="0" applyFill="1"/>
    <xf numFmtId="0" fontId="0" fillId="0" borderId="4" xfId="0" applyBorder="1"/>
    <xf numFmtId="0" fontId="0" fillId="0" borderId="8" xfId="0" applyBorder="1"/>
    <xf numFmtId="0" fontId="0" fillId="16" borderId="0" xfId="2" applyFont="1" applyFill="1" applyBorder="1" applyAlignment="1" applyProtection="1">
      <alignment horizontal="left"/>
    </xf>
    <xf numFmtId="165" fontId="0" fillId="0" borderId="16" xfId="0" applyNumberFormat="1" applyBorder="1" applyAlignment="1">
      <alignment horizontal="center"/>
    </xf>
    <xf numFmtId="44" fontId="0" fillId="0" borderId="14" xfId="5" applyFon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164" fontId="5" fillId="24" borderId="0" xfId="2" applyNumberFormat="1" applyFill="1" applyBorder="1" applyAlignment="1" applyProtection="1">
      <alignment horizontal="center"/>
    </xf>
    <xf numFmtId="0" fontId="5" fillId="24" borderId="0" xfId="2" applyFill="1" applyBorder="1" applyAlignment="1" applyProtection="1">
      <alignment horizontal="center"/>
    </xf>
    <xf numFmtId="167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indent="5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27" borderId="2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7" borderId="8" xfId="0" applyFill="1" applyBorder="1" applyAlignment="1">
      <alignment horizontal="center"/>
    </xf>
    <xf numFmtId="0" fontId="0" fillId="27" borderId="15" xfId="0" applyFill="1" applyBorder="1" applyAlignment="1">
      <alignment horizontal="center"/>
    </xf>
    <xf numFmtId="0" fontId="0" fillId="27" borderId="1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26" borderId="2" xfId="0" applyFill="1" applyBorder="1" applyAlignment="1">
      <alignment horizontal="center"/>
    </xf>
  </cellXfs>
  <cellStyles count="6">
    <cellStyle name="Excel Built-in 40% - Accent1" xfId="2"/>
    <cellStyle name="Excel Built-in Accent1" xfId="1"/>
    <cellStyle name="Excel Built-in Output" xfId="3"/>
    <cellStyle name="Moeda" xfId="5" builtinId="4"/>
    <cellStyle name="Normal" xfId="0" builtinId="0"/>
    <cellStyle name="Separador de milhares" xfId="4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view="pageLayout" topLeftCell="A2" workbookViewId="0">
      <selection activeCell="B24" sqref="B24:F25"/>
    </sheetView>
  </sheetViews>
  <sheetFormatPr defaultColWidth="9.109375" defaultRowHeight="15.6"/>
  <cols>
    <col min="1" max="1" width="12.6640625" style="59" customWidth="1"/>
    <col min="2" max="2" width="13.88671875" style="59" customWidth="1"/>
    <col min="3" max="3" width="13.88671875" style="91" customWidth="1"/>
    <col min="4" max="4" width="20.109375" style="59" customWidth="1"/>
    <col min="5" max="5" width="3" style="59" customWidth="1"/>
    <col min="6" max="6" width="10.5546875" style="59" customWidth="1"/>
    <col min="7" max="16384" width="9.109375" style="59"/>
  </cols>
  <sheetData>
    <row r="1" spans="2:6" hidden="1">
      <c r="C1" s="59"/>
    </row>
    <row r="2" spans="2:6">
      <c r="C2" s="59"/>
    </row>
    <row r="3" spans="2:6">
      <c r="C3" s="59"/>
    </row>
    <row r="4" spans="2:6">
      <c r="C4" s="59"/>
    </row>
    <row r="5" spans="2:6">
      <c r="B5" s="226" t="s">
        <v>54</v>
      </c>
      <c r="C5" s="226"/>
      <c r="D5" s="226"/>
      <c r="E5" s="226"/>
      <c r="F5" s="226"/>
    </row>
    <row r="6" spans="2:6">
      <c r="C6" s="60" t="s">
        <v>21</v>
      </c>
    </row>
    <row r="7" spans="2:6">
      <c r="B7" s="61" t="s">
        <v>55</v>
      </c>
      <c r="C7" s="62">
        <f>ENTRADA!C9</f>
        <v>0</v>
      </c>
      <c r="D7" s="62"/>
      <c r="E7" s="62"/>
      <c r="F7" s="63"/>
    </row>
    <row r="8" spans="2:6">
      <c r="B8" s="64" t="s">
        <v>56</v>
      </c>
      <c r="C8" s="227" t="str">
        <f>ENTRADA!C10&amp; " -  "&amp;ENTRADA!D10</f>
        <v>PORTO UNIÃO -  SC</v>
      </c>
      <c r="D8" s="227"/>
      <c r="E8" s="65"/>
      <c r="F8" s="66"/>
    </row>
    <row r="9" spans="2:6">
      <c r="C9" s="67"/>
    </row>
    <row r="10" spans="2:6">
      <c r="B10" s="68" t="s">
        <v>71</v>
      </c>
      <c r="C10" s="62"/>
      <c r="D10" s="62"/>
      <c r="E10" s="62"/>
      <c r="F10" s="63"/>
    </row>
    <row r="11" spans="2:6">
      <c r="B11" s="69" t="s">
        <v>85</v>
      </c>
      <c r="C11" s="59" t="str">
        <f>ENTRADA!D2</f>
        <v>9x60</v>
      </c>
      <c r="F11" s="70"/>
    </row>
    <row r="12" spans="2:6">
      <c r="B12" s="69" t="s">
        <v>57</v>
      </c>
      <c r="C12" s="59" t="str">
        <f>ENTRADA!D3&amp;" m²"</f>
        <v>540 m²</v>
      </c>
      <c r="F12" s="70"/>
    </row>
    <row r="13" spans="2:6">
      <c r="B13" s="69" t="s">
        <v>58</v>
      </c>
      <c r="C13" s="59" t="str">
        <f>PILARES!D12&amp;" metros"</f>
        <v>5 metros</v>
      </c>
      <c r="F13" s="70"/>
    </row>
    <row r="14" spans="2:6">
      <c r="B14" s="62"/>
      <c r="C14" s="71"/>
      <c r="D14" s="62"/>
      <c r="E14" s="62"/>
      <c r="F14" s="62"/>
    </row>
    <row r="15" spans="2:6">
      <c r="B15" s="61" t="s">
        <v>86</v>
      </c>
      <c r="C15" s="72"/>
      <c r="D15" s="62"/>
      <c r="E15" s="62"/>
      <c r="F15" s="63"/>
    </row>
    <row r="16" spans="2:6">
      <c r="B16" s="73" t="s">
        <v>72</v>
      </c>
      <c r="C16" s="92"/>
      <c r="D16" s="87"/>
      <c r="E16" s="87"/>
      <c r="F16" s="70"/>
    </row>
    <row r="17" spans="2:6">
      <c r="B17" s="73" t="str">
        <f>COBERTURA!C24&amp; "  tesouras metálicas:"</f>
        <v>13  tesouras metálicas:</v>
      </c>
      <c r="C17" s="92"/>
      <c r="D17" s="87"/>
      <c r="E17" s="87"/>
      <c r="F17" s="70"/>
    </row>
    <row r="18" spans="2:6">
      <c r="B18" s="69" t="s">
        <v>87</v>
      </c>
      <c r="C18" s="90" t="str">
        <f>COBERTURA!C17 &amp;"  e " &amp; COBERTURA!C20</f>
        <v>PERFIL U 75mm  2,00  e PERFIL U 68mm 2,00</v>
      </c>
      <c r="D18" s="87"/>
      <c r="E18" s="87"/>
      <c r="F18" s="70"/>
    </row>
    <row r="19" spans="2:6">
      <c r="B19" s="75" t="str">
        <f>COBERTURA!C30 &amp;"  m² de cobertura:  "</f>
        <v xml:space="preserve">622,1  m² de cobertura:  </v>
      </c>
      <c r="C19" s="92"/>
      <c r="D19" s="87"/>
      <c r="E19" s="87"/>
      <c r="F19" s="70"/>
    </row>
    <row r="20" spans="2:6">
      <c r="B20" s="69" t="str">
        <f>COBERTURA!B28</f>
        <v>TELHA SIMPLES</v>
      </c>
      <c r="C20" s="92"/>
      <c r="D20" s="87"/>
      <c r="E20" s="87"/>
      <c r="F20" s="70"/>
    </row>
    <row r="21" spans="2:6">
      <c r="B21" s="76" t="s">
        <v>76</v>
      </c>
      <c r="C21" s="92"/>
      <c r="D21" s="87"/>
      <c r="E21" s="87"/>
      <c r="F21" s="70"/>
    </row>
    <row r="22" spans="2:6" ht="15" customHeight="1">
      <c r="B22" s="64" t="s">
        <v>59</v>
      </c>
      <c r="C22" s="93"/>
      <c r="D22" s="65"/>
      <c r="E22" s="65"/>
      <c r="F22" s="66"/>
    </row>
    <row r="23" spans="2:6">
      <c r="C23" s="79"/>
    </row>
    <row r="24" spans="2:6">
      <c r="B24" s="61" t="s">
        <v>308</v>
      </c>
      <c r="C24" s="72"/>
      <c r="D24" s="62"/>
      <c r="E24" s="62"/>
      <c r="F24" s="63"/>
    </row>
    <row r="25" spans="2:6">
      <c r="B25" s="64" t="s">
        <v>309</v>
      </c>
      <c r="C25" s="93"/>
      <c r="D25" s="65"/>
      <c r="E25" s="65"/>
      <c r="F25" s="66"/>
    </row>
    <row r="26" spans="2:6">
      <c r="B26" s="87"/>
      <c r="C26" s="90"/>
      <c r="D26" s="87"/>
      <c r="E26" s="87"/>
      <c r="F26" s="87"/>
    </row>
    <row r="27" spans="2:6" ht="22.2" hidden="1" customHeight="1">
      <c r="B27" s="224" t="s">
        <v>21</v>
      </c>
      <c r="C27" s="92"/>
      <c r="D27" s="87"/>
      <c r="E27" s="87"/>
      <c r="F27" s="87"/>
    </row>
    <row r="28" spans="2:6" hidden="1">
      <c r="B28" s="87" t="s">
        <v>21</v>
      </c>
      <c r="C28" s="92"/>
      <c r="D28" s="87"/>
      <c r="E28" s="87"/>
      <c r="F28" s="87"/>
    </row>
    <row r="29" spans="2:6" hidden="1">
      <c r="B29" s="90" t="s">
        <v>21</v>
      </c>
      <c r="C29" s="92"/>
      <c r="D29" s="87"/>
      <c r="E29" s="87"/>
      <c r="F29" s="87"/>
    </row>
    <row r="30" spans="2:6" hidden="1">
      <c r="B30" s="89" t="s">
        <v>21</v>
      </c>
      <c r="C30" s="92"/>
      <c r="D30" s="87"/>
      <c r="E30" s="87"/>
      <c r="F30" s="87"/>
    </row>
    <row r="31" spans="2:6" hidden="1">
      <c r="B31" s="87"/>
      <c r="C31" s="225"/>
      <c r="D31" s="87"/>
      <c r="E31" s="87"/>
      <c r="F31" s="87"/>
    </row>
    <row r="32" spans="2:6" hidden="1">
      <c r="B32" s="87"/>
      <c r="C32" s="225"/>
      <c r="D32" s="87"/>
      <c r="E32" s="87"/>
      <c r="F32" s="87"/>
    </row>
    <row r="33" spans="1:7">
      <c r="B33" s="87"/>
      <c r="C33" s="225"/>
      <c r="D33" s="87"/>
      <c r="E33" s="87"/>
      <c r="F33" s="87"/>
    </row>
    <row r="34" spans="1:7">
      <c r="C34" s="79"/>
    </row>
    <row r="35" spans="1:7">
      <c r="B35" s="80" t="s">
        <v>60</v>
      </c>
      <c r="C35" s="62"/>
      <c r="D35" s="81">
        <f>164000</f>
        <v>164000</v>
      </c>
      <c r="E35" s="62" t="s">
        <v>21</v>
      </c>
      <c r="F35" s="63"/>
    </row>
    <row r="36" spans="1:7">
      <c r="B36" s="82"/>
      <c r="C36" s="78" t="s">
        <v>21</v>
      </c>
      <c r="D36" s="83"/>
      <c r="E36" s="65"/>
      <c r="F36" s="66"/>
    </row>
    <row r="38" spans="1:7" ht="19.5" customHeight="1">
      <c r="B38" s="61" t="s">
        <v>82</v>
      </c>
      <c r="C38" s="62"/>
      <c r="D38" s="62"/>
      <c r="E38" s="62"/>
      <c r="F38" s="63"/>
    </row>
    <row r="39" spans="1:7">
      <c r="B39" s="84" t="s">
        <v>73</v>
      </c>
      <c r="C39" s="59"/>
      <c r="F39" s="70"/>
    </row>
    <row r="40" spans="1:7">
      <c r="B40" s="84" t="s">
        <v>68</v>
      </c>
      <c r="C40" s="59"/>
      <c r="F40" s="70"/>
    </row>
    <row r="41" spans="1:7">
      <c r="B41" s="82" t="s">
        <v>69</v>
      </c>
      <c r="C41" s="85"/>
      <c r="D41" s="65"/>
      <c r="E41" s="65"/>
      <c r="F41" s="66"/>
    </row>
    <row r="43" spans="1:7" ht="15.6" customHeight="1">
      <c r="B43" s="80" t="s">
        <v>62</v>
      </c>
      <c r="C43" s="62"/>
      <c r="D43" s="62"/>
      <c r="E43" s="62"/>
      <c r="F43" s="63"/>
    </row>
    <row r="44" spans="1:7" ht="18.75" customHeight="1">
      <c r="B44" s="86" t="s">
        <v>64</v>
      </c>
      <c r="C44" s="87"/>
      <c r="D44" s="87"/>
      <c r="E44" s="87"/>
      <c r="F44" s="70"/>
    </row>
    <row r="45" spans="1:7">
      <c r="A45" s="87"/>
      <c r="B45" s="86" t="s">
        <v>63</v>
      </c>
      <c r="C45" s="87"/>
      <c r="D45" s="87"/>
      <c r="E45" s="87"/>
      <c r="F45" s="70"/>
    </row>
    <row r="46" spans="1:7">
      <c r="A46" s="87"/>
      <c r="B46" s="88" t="s">
        <v>67</v>
      </c>
      <c r="C46" s="65"/>
      <c r="D46" s="65"/>
      <c r="E46" s="65"/>
      <c r="F46" s="66"/>
    </row>
    <row r="47" spans="1:7">
      <c r="A47" s="87"/>
      <c r="B47" s="87"/>
      <c r="C47" s="89"/>
      <c r="D47" s="87"/>
      <c r="E47" s="87"/>
      <c r="F47" s="87"/>
      <c r="G47" s="87"/>
    </row>
    <row r="48" spans="1:7">
      <c r="B48" s="68" t="s">
        <v>65</v>
      </c>
      <c r="C48" s="71"/>
      <c r="D48" s="62"/>
      <c r="E48" s="62"/>
      <c r="F48" s="63"/>
      <c r="G48" s="87"/>
    </row>
    <row r="49" spans="2:7" ht="21" customHeight="1">
      <c r="B49" s="69" t="s">
        <v>81</v>
      </c>
      <c r="C49" s="87"/>
      <c r="D49" s="87"/>
      <c r="E49" s="87"/>
      <c r="F49" s="70"/>
      <c r="G49" s="87"/>
    </row>
    <row r="50" spans="2:7">
      <c r="B50" s="82" t="s">
        <v>66</v>
      </c>
      <c r="C50" s="65"/>
      <c r="D50" s="65"/>
      <c r="E50" s="65"/>
      <c r="F50" s="66"/>
      <c r="G50" s="87"/>
    </row>
    <row r="51" spans="2:7">
      <c r="B51" s="87"/>
      <c r="C51" s="90"/>
      <c r="D51" s="87"/>
      <c r="E51" s="87"/>
      <c r="F51" s="87"/>
      <c r="G51" s="87"/>
    </row>
    <row r="52" spans="2:7">
      <c r="C52" s="67"/>
    </row>
    <row r="53" spans="2:7">
      <c r="C53" s="59"/>
    </row>
    <row r="54" spans="2:7">
      <c r="C54" s="67"/>
    </row>
    <row r="55" spans="2:7">
      <c r="C55" s="67"/>
    </row>
  </sheetData>
  <mergeCells count="2">
    <mergeCell ref="B5:F5"/>
    <mergeCell ref="C8:D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 xml:space="preserve">&amp;L&amp;G
&amp;C&amp;"Times New Roman,Negrito"&amp;12SERRALHERIA E PRÉ MOLDADOS LEÃO
Rua Rio Grande do Sul, 135- Centro
(47) 9272-3693 
CNPJ: 28.067.456/0001-98 
IRINEÓPOLIS – SC </oddHeader>
    <oddFooter>&amp;CIRINEÓPOLIS - SC
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view="pageLayout" topLeftCell="A2" workbookViewId="0">
      <selection activeCell="B35" sqref="B35"/>
    </sheetView>
  </sheetViews>
  <sheetFormatPr defaultColWidth="9.109375" defaultRowHeight="15.6"/>
  <cols>
    <col min="1" max="1" width="12.6640625" style="59" customWidth="1"/>
    <col min="2" max="2" width="13.88671875" style="59" customWidth="1"/>
    <col min="3" max="3" width="13.88671875" style="91" customWidth="1"/>
    <col min="4" max="4" width="20.109375" style="59" customWidth="1"/>
    <col min="5" max="5" width="3" style="59" customWidth="1"/>
    <col min="6" max="6" width="15.33203125" style="59" customWidth="1"/>
    <col min="7" max="16384" width="9.109375" style="59"/>
  </cols>
  <sheetData>
    <row r="1" spans="2:6" hidden="1">
      <c r="C1" s="59"/>
    </row>
    <row r="2" spans="2:6">
      <c r="C2" s="59"/>
    </row>
    <row r="3" spans="2:6">
      <c r="C3" s="59"/>
    </row>
    <row r="4" spans="2:6">
      <c r="C4" s="59"/>
    </row>
    <row r="5" spans="2:6">
      <c r="B5" s="226" t="s">
        <v>54</v>
      </c>
      <c r="C5" s="226"/>
      <c r="D5" s="226"/>
      <c r="E5" s="226"/>
      <c r="F5" s="226"/>
    </row>
    <row r="6" spans="2:6">
      <c r="C6" s="60" t="s">
        <v>21</v>
      </c>
    </row>
    <row r="7" spans="2:6">
      <c r="B7" s="61" t="s">
        <v>55</v>
      </c>
      <c r="C7" s="62">
        <f>ENTRADA!C9</f>
        <v>0</v>
      </c>
      <c r="D7" s="62"/>
      <c r="E7" s="62"/>
      <c r="F7" s="63"/>
    </row>
    <row r="8" spans="2:6">
      <c r="B8" s="64" t="s">
        <v>56</v>
      </c>
      <c r="C8" s="65" t="s">
        <v>78</v>
      </c>
      <c r="D8" s="65"/>
      <c r="E8" s="65"/>
      <c r="F8" s="66"/>
    </row>
    <row r="9" spans="2:6">
      <c r="C9" s="67"/>
    </row>
    <row r="10" spans="2:6">
      <c r="B10" s="68" t="s">
        <v>71</v>
      </c>
      <c r="C10" s="62"/>
      <c r="D10" s="62"/>
      <c r="E10" s="62"/>
      <c r="F10" s="63"/>
    </row>
    <row r="11" spans="2:6">
      <c r="B11" s="69" t="s">
        <v>85</v>
      </c>
      <c r="C11" s="59" t="str">
        <f>ENTRADA!D2</f>
        <v>9x60</v>
      </c>
      <c r="F11" s="70"/>
    </row>
    <row r="12" spans="2:6">
      <c r="B12" s="69" t="s">
        <v>57</v>
      </c>
      <c r="C12" s="59" t="str">
        <f>ENTRADA!D3&amp;" m²"</f>
        <v>540 m²</v>
      </c>
      <c r="F12" s="70"/>
    </row>
    <row r="13" spans="2:6">
      <c r="B13" s="69" t="s">
        <v>58</v>
      </c>
      <c r="C13" s="59" t="str">
        <f>PILARES!D12&amp;" metros"</f>
        <v>5 metros</v>
      </c>
      <c r="F13" s="70"/>
    </row>
    <row r="14" spans="2:6">
      <c r="B14" s="62"/>
      <c r="C14" s="71"/>
      <c r="D14" s="62"/>
      <c r="E14" s="62"/>
      <c r="F14" s="62"/>
    </row>
    <row r="15" spans="2:6">
      <c r="B15" s="61" t="s">
        <v>61</v>
      </c>
      <c r="C15" s="72"/>
      <c r="D15" s="62"/>
      <c r="E15" s="62"/>
      <c r="F15" s="63"/>
    </row>
    <row r="16" spans="2:6">
      <c r="B16" s="73" t="str">
        <f>PILARES!C11&amp;"  pilares"</f>
        <v>26  pilares</v>
      </c>
      <c r="C16" s="74"/>
      <c r="F16" s="70"/>
    </row>
    <row r="17" spans="2:6">
      <c r="B17" s="73" t="s">
        <v>72</v>
      </c>
      <c r="C17" s="74"/>
      <c r="F17" s="70"/>
    </row>
    <row r="18" spans="2:6">
      <c r="B18" s="73" t="str">
        <f>COBERTURA!C24&amp;" tesouras metálicas com: "&amp;COBERTURA!C17&amp;" e " &amp;COBERTURA!C20</f>
        <v>13 tesouras metálicas com: PERFIL U 75mm  2,00 e PERFIL U 68mm 2,00</v>
      </c>
      <c r="C18" s="74"/>
      <c r="F18" s="70"/>
    </row>
    <row r="19" spans="2:6">
      <c r="B19" s="75" t="str">
        <f>COBERTURA!C30 &amp;"  m² de cobertura em: "&amp;COBERTURA!B28</f>
        <v>622,1  m² de cobertura em: TELHA SIMPLES</v>
      </c>
      <c r="C19" s="74"/>
      <c r="F19" s="70"/>
    </row>
    <row r="20" spans="2:6">
      <c r="B20" s="76" t="s">
        <v>76</v>
      </c>
      <c r="C20" s="74"/>
      <c r="F20" s="70"/>
    </row>
    <row r="21" spans="2:6">
      <c r="B21" s="73" t="s">
        <v>59</v>
      </c>
      <c r="C21" s="74"/>
      <c r="F21" s="70"/>
    </row>
    <row r="22" spans="2:6" hidden="1">
      <c r="B22" s="73" t="str">
        <f>VIGAS!C12&amp;"  m de viga pré-moldada "</f>
        <v xml:space="preserve">50  m de viga pré-moldada </v>
      </c>
      <c r="C22" s="59"/>
      <c r="F22" s="70"/>
    </row>
    <row r="23" spans="2:6" hidden="1">
      <c r="B23" s="76" t="str">
        <f>LAJE!B3&amp;" m² de laje pré-moldada medida de 6x8"</f>
        <v>10 m² de laje pré-moldada medida de 6x8</v>
      </c>
      <c r="C23" s="67"/>
      <c r="F23" s="70"/>
    </row>
    <row r="24" spans="2:6">
      <c r="B24" s="77" t="s">
        <v>77</v>
      </c>
      <c r="C24" s="78"/>
      <c r="D24" s="65"/>
      <c r="E24" s="65"/>
      <c r="F24" s="66"/>
    </row>
    <row r="25" spans="2:6">
      <c r="C25" s="79"/>
    </row>
    <row r="26" spans="2:6">
      <c r="B26" s="80" t="s">
        <v>60</v>
      </c>
      <c r="C26" s="62"/>
      <c r="D26" s="81">
        <v>31000</v>
      </c>
      <c r="E26" s="62" t="s">
        <v>21</v>
      </c>
      <c r="F26" s="63"/>
    </row>
    <row r="27" spans="2:6">
      <c r="B27" s="82"/>
      <c r="C27" s="78" t="s">
        <v>21</v>
      </c>
      <c r="D27" s="83"/>
      <c r="E27" s="65"/>
      <c r="F27" s="66"/>
    </row>
    <row r="29" spans="2:6" ht="19.5" customHeight="1">
      <c r="B29" s="61" t="s">
        <v>82</v>
      </c>
      <c r="C29" s="62"/>
      <c r="D29" s="62"/>
      <c r="E29" s="62"/>
      <c r="F29" s="63"/>
    </row>
    <row r="30" spans="2:6">
      <c r="B30" s="84" t="s">
        <v>73</v>
      </c>
      <c r="C30" s="59"/>
      <c r="F30" s="70"/>
    </row>
    <row r="31" spans="2:6">
      <c r="B31" s="84" t="s">
        <v>68</v>
      </c>
      <c r="C31" s="59"/>
      <c r="F31" s="70"/>
    </row>
    <row r="32" spans="2:6">
      <c r="B32" s="82" t="s">
        <v>69</v>
      </c>
      <c r="C32" s="85"/>
      <c r="D32" s="65"/>
      <c r="E32" s="65"/>
      <c r="F32" s="66"/>
    </row>
    <row r="34" spans="1:7" ht="15.6" customHeight="1">
      <c r="B34" s="80" t="s">
        <v>62</v>
      </c>
      <c r="C34" s="62"/>
      <c r="D34" s="62"/>
      <c r="E34" s="62"/>
      <c r="F34" s="63"/>
    </row>
    <row r="35" spans="1:7" ht="18.75" customHeight="1">
      <c r="B35" s="86" t="s">
        <v>64</v>
      </c>
      <c r="C35" s="87"/>
      <c r="D35" s="87"/>
      <c r="E35" s="87"/>
      <c r="F35" s="70"/>
    </row>
    <row r="36" spans="1:7">
      <c r="A36" s="87"/>
      <c r="B36" s="86" t="s">
        <v>63</v>
      </c>
      <c r="C36" s="87"/>
      <c r="D36" s="87"/>
      <c r="E36" s="87"/>
      <c r="F36" s="70"/>
    </row>
    <row r="37" spans="1:7">
      <c r="A37" s="87"/>
      <c r="B37" s="88" t="s">
        <v>67</v>
      </c>
      <c r="C37" s="65"/>
      <c r="D37" s="65"/>
      <c r="E37" s="65"/>
      <c r="F37" s="66"/>
    </row>
    <row r="38" spans="1:7">
      <c r="A38" s="87"/>
      <c r="B38" s="87"/>
      <c r="C38" s="89"/>
      <c r="D38" s="87"/>
      <c r="E38" s="87"/>
      <c r="F38" s="87"/>
      <c r="G38" s="87"/>
    </row>
    <row r="39" spans="1:7">
      <c r="B39" s="68" t="s">
        <v>65</v>
      </c>
      <c r="C39" s="71"/>
      <c r="D39" s="62"/>
      <c r="E39" s="62"/>
      <c r="F39" s="63"/>
      <c r="G39" s="87"/>
    </row>
    <row r="40" spans="1:7" ht="21" customHeight="1">
      <c r="B40" s="69" t="s">
        <v>81</v>
      </c>
      <c r="C40" s="87"/>
      <c r="D40" s="87"/>
      <c r="E40" s="87"/>
      <c r="F40" s="70"/>
      <c r="G40" s="87"/>
    </row>
    <row r="41" spans="1:7">
      <c r="B41" s="82" t="s">
        <v>66</v>
      </c>
      <c r="C41" s="65"/>
      <c r="D41" s="65"/>
      <c r="E41" s="65"/>
      <c r="F41" s="66"/>
      <c r="G41" s="87"/>
    </row>
    <row r="42" spans="1:7">
      <c r="B42" s="87"/>
      <c r="C42" s="90"/>
      <c r="D42" s="87"/>
      <c r="E42" s="87"/>
      <c r="F42" s="87"/>
      <c r="G42" s="87"/>
    </row>
    <row r="43" spans="1:7">
      <c r="C43" s="67"/>
    </row>
    <row r="44" spans="1:7">
      <c r="C44" s="59"/>
    </row>
    <row r="45" spans="1:7">
      <c r="C45" s="67"/>
    </row>
    <row r="46" spans="1:7">
      <c r="C46" s="67"/>
    </row>
  </sheetData>
  <mergeCells count="1">
    <mergeCell ref="B5:F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 xml:space="preserve">&amp;L&amp;G
&amp;C&amp;"Times New Roman,Negrito"&amp;12SERRALHERIA E PRÉ MOLDADOS LEÃO
Rua Rio Grande do Sul, 135- Centro
(47) 99272-3693 
CNPJ: 28.067.456/0001-98 
IRINEÓPOLIS – SC </oddHeader>
    <oddFooter>&amp;CIRINEÓPOLIS - SC
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54"/>
  <sheetViews>
    <sheetView showGridLines="0" tabSelected="1" topLeftCell="H1" workbookViewId="0">
      <selection activeCell="R6" sqref="R6"/>
    </sheetView>
  </sheetViews>
  <sheetFormatPr defaultColWidth="8.44140625" defaultRowHeight="14.4"/>
  <cols>
    <col min="2" max="2" width="23.5546875" customWidth="1"/>
    <col min="3" max="3" width="9.6640625" customWidth="1"/>
    <col min="4" max="4" width="10.6640625" customWidth="1"/>
    <col min="5" max="5" width="13.109375" customWidth="1"/>
    <col min="6" max="6" width="9" bestFit="1" customWidth="1"/>
    <col min="7" max="7" width="4.5546875" customWidth="1"/>
    <col min="8" max="8" width="11.6640625" customWidth="1"/>
    <col min="9" max="9" width="16.33203125" style="1" customWidth="1"/>
    <col min="10" max="10" width="14.6640625" customWidth="1"/>
    <col min="11" max="11" width="14" customWidth="1"/>
    <col min="12" max="12" width="9.109375" bestFit="1" customWidth="1"/>
    <col min="16" max="16" width="0.21875" customWidth="1"/>
    <col min="17" max="17" width="35" customWidth="1"/>
    <col min="18" max="18" width="10.6640625" bestFit="1" customWidth="1"/>
    <col min="22" max="22" width="9.109375" bestFit="1" customWidth="1"/>
    <col min="25" max="25" width="13.21875" customWidth="1"/>
    <col min="26" max="26" width="13" customWidth="1"/>
    <col min="27" max="27" width="22" customWidth="1"/>
  </cols>
  <sheetData>
    <row r="2" spans="2:27" ht="61.2">
      <c r="B2" s="232" t="s">
        <v>0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</row>
    <row r="4" spans="2:27" ht="58.2">
      <c r="B4" s="163" t="s">
        <v>289</v>
      </c>
      <c r="C4" s="163" t="s">
        <v>24</v>
      </c>
      <c r="D4" s="164" t="s">
        <v>290</v>
      </c>
      <c r="E4" s="164" t="s">
        <v>292</v>
      </c>
      <c r="F4" s="164" t="s">
        <v>291</v>
      </c>
      <c r="G4" s="105"/>
      <c r="I4" s="160" t="s">
        <v>1</v>
      </c>
      <c r="J4" s="161" t="s">
        <v>290</v>
      </c>
      <c r="K4" s="161" t="s">
        <v>294</v>
      </c>
      <c r="L4" s="162" t="s">
        <v>293</v>
      </c>
      <c r="M4" s="161" t="s">
        <v>291</v>
      </c>
      <c r="Q4" s="179" t="s">
        <v>15</v>
      </c>
      <c r="R4" s="164" t="s">
        <v>290</v>
      </c>
      <c r="S4" s="164" t="s">
        <v>297</v>
      </c>
      <c r="T4" s="164" t="s">
        <v>298</v>
      </c>
      <c r="U4" s="164" t="s">
        <v>296</v>
      </c>
      <c r="V4" s="164" t="s">
        <v>295</v>
      </c>
      <c r="Y4" s="114" t="s">
        <v>108</v>
      </c>
      <c r="Z4" s="114" t="s">
        <v>109</v>
      </c>
      <c r="AA4" s="114" t="s">
        <v>110</v>
      </c>
    </row>
    <row r="5" spans="2:27">
      <c r="B5" s="153" t="s">
        <v>2</v>
      </c>
      <c r="C5" s="154"/>
      <c r="D5" s="155">
        <v>75</v>
      </c>
      <c r="E5" s="148">
        <v>1</v>
      </c>
      <c r="F5" s="155">
        <f>(D5/E5)</f>
        <v>75</v>
      </c>
      <c r="G5" s="106"/>
      <c r="I5" s="150">
        <v>5</v>
      </c>
      <c r="J5" s="155">
        <v>15.9</v>
      </c>
      <c r="K5" s="148">
        <v>12</v>
      </c>
      <c r="L5" s="156">
        <f t="shared" ref="L5:L12" si="0">J5/2</f>
        <v>7.95</v>
      </c>
      <c r="M5" s="155">
        <f t="shared" ref="M5:M12" si="1">J5/K5</f>
        <v>1.325</v>
      </c>
      <c r="Q5" s="165" t="s">
        <v>17</v>
      </c>
      <c r="R5" s="170">
        <v>34</v>
      </c>
      <c r="S5" s="150">
        <v>40</v>
      </c>
      <c r="T5" s="170">
        <f t="shared" ref="T5:T11" si="2">R5/S5</f>
        <v>0.85</v>
      </c>
      <c r="U5" s="150">
        <v>320</v>
      </c>
      <c r="V5" s="170">
        <f>U5*T5</f>
        <v>272</v>
      </c>
      <c r="Y5" t="s">
        <v>111</v>
      </c>
      <c r="Z5" s="113" t="s">
        <v>112</v>
      </c>
      <c r="AA5" s="113">
        <v>40</v>
      </c>
    </row>
    <row r="6" spans="2:27">
      <c r="B6" s="153" t="s">
        <v>79</v>
      </c>
      <c r="C6" s="154"/>
      <c r="D6" s="155">
        <v>105.8</v>
      </c>
      <c r="E6" s="148">
        <v>1</v>
      </c>
      <c r="F6" s="155">
        <f>(D6/E6)</f>
        <v>105.8</v>
      </c>
      <c r="I6" s="151">
        <v>6.3</v>
      </c>
      <c r="J6" s="157">
        <v>26.7</v>
      </c>
      <c r="K6" s="149">
        <v>12</v>
      </c>
      <c r="L6" s="156">
        <f t="shared" si="0"/>
        <v>13.35</v>
      </c>
      <c r="M6" s="157">
        <f t="shared" si="1"/>
        <v>2.2250000000000001</v>
      </c>
      <c r="Q6" s="166" t="s">
        <v>18</v>
      </c>
      <c r="R6" s="171">
        <v>64</v>
      </c>
      <c r="S6" s="172">
        <v>1000</v>
      </c>
      <c r="T6" s="170">
        <f t="shared" si="2"/>
        <v>6.4000000000000001E-2</v>
      </c>
      <c r="U6" s="173">
        <v>655</v>
      </c>
      <c r="V6" s="170">
        <f>U6*T6</f>
        <v>41.92</v>
      </c>
      <c r="Y6" t="s">
        <v>113</v>
      </c>
      <c r="Z6" s="113" t="s">
        <v>114</v>
      </c>
      <c r="AA6" s="113">
        <v>42</v>
      </c>
    </row>
    <row r="7" spans="2:27">
      <c r="B7" s="153" t="s">
        <v>80</v>
      </c>
      <c r="C7" s="154"/>
      <c r="D7" s="155">
        <v>86.8</v>
      </c>
      <c r="E7" s="148">
        <v>1</v>
      </c>
      <c r="F7" s="155">
        <f>D7*E7</f>
        <v>86.8</v>
      </c>
      <c r="I7" s="150">
        <v>8</v>
      </c>
      <c r="J7" s="155">
        <v>40.61</v>
      </c>
      <c r="K7" s="148">
        <v>12</v>
      </c>
      <c r="L7" s="156">
        <f t="shared" si="0"/>
        <v>20.305</v>
      </c>
      <c r="M7" s="155">
        <f t="shared" si="1"/>
        <v>3.3841666666666668</v>
      </c>
      <c r="Q7" s="165" t="s">
        <v>19</v>
      </c>
      <c r="R7" s="170">
        <v>75</v>
      </c>
      <c r="S7" s="150">
        <v>1000</v>
      </c>
      <c r="T7" s="170">
        <f t="shared" si="2"/>
        <v>7.4999999999999997E-2</v>
      </c>
      <c r="U7" s="174">
        <v>300</v>
      </c>
      <c r="V7" s="170">
        <f t="shared" ref="V7" si="3">U7*T7</f>
        <v>22.5</v>
      </c>
      <c r="Y7" t="s">
        <v>115</v>
      </c>
      <c r="Z7" s="113" t="s">
        <v>112</v>
      </c>
      <c r="AA7" s="113">
        <v>46</v>
      </c>
    </row>
    <row r="8" spans="2:27">
      <c r="B8" s="153" t="s">
        <v>95</v>
      </c>
      <c r="C8" s="154"/>
      <c r="D8" s="155">
        <v>48.9</v>
      </c>
      <c r="E8" s="148">
        <v>1</v>
      </c>
      <c r="F8" s="155">
        <f>D8*E8</f>
        <v>48.9</v>
      </c>
      <c r="G8" s="107"/>
      <c r="I8" s="151">
        <v>10</v>
      </c>
      <c r="J8" s="157">
        <v>61.76</v>
      </c>
      <c r="K8" s="149">
        <v>12</v>
      </c>
      <c r="L8" s="156">
        <f t="shared" si="0"/>
        <v>30.88</v>
      </c>
      <c r="M8" s="157">
        <f t="shared" si="1"/>
        <v>5.1466666666666665</v>
      </c>
      <c r="Q8" s="167" t="s">
        <v>145</v>
      </c>
      <c r="R8" s="170">
        <v>75</v>
      </c>
      <c r="S8" s="150">
        <v>1000</v>
      </c>
      <c r="T8" s="170">
        <f t="shared" si="2"/>
        <v>7.4999999999999997E-2</v>
      </c>
      <c r="U8" s="174">
        <v>925</v>
      </c>
      <c r="V8" s="170">
        <f>U8*T8</f>
        <v>69.375</v>
      </c>
      <c r="Y8" t="s">
        <v>116</v>
      </c>
      <c r="Z8" s="113" t="s">
        <v>112</v>
      </c>
      <c r="AA8" s="113">
        <v>65</v>
      </c>
    </row>
    <row r="9" spans="2:27">
      <c r="B9" s="153" t="s">
        <v>22</v>
      </c>
      <c r="C9" s="154"/>
      <c r="D9" s="155">
        <v>36.9</v>
      </c>
      <c r="E9" s="148">
        <v>1</v>
      </c>
      <c r="F9" s="155">
        <f t="shared" ref="F9:F34" si="4">D9/E9</f>
        <v>36.9</v>
      </c>
      <c r="I9" s="150">
        <v>12.5</v>
      </c>
      <c r="J9" s="155">
        <v>94.07</v>
      </c>
      <c r="K9" s="148">
        <v>12</v>
      </c>
      <c r="L9" s="156">
        <f t="shared" si="0"/>
        <v>47.034999999999997</v>
      </c>
      <c r="M9" s="155">
        <f t="shared" si="1"/>
        <v>7.8391666666666664</v>
      </c>
      <c r="Q9" s="168" t="s">
        <v>107</v>
      </c>
      <c r="R9" s="171">
        <v>2111</v>
      </c>
      <c r="S9" s="172">
        <v>200</v>
      </c>
      <c r="T9" s="170">
        <f t="shared" si="2"/>
        <v>10.555</v>
      </c>
      <c r="U9" s="172">
        <v>1.2</v>
      </c>
      <c r="V9" s="170">
        <f t="shared" ref="V9:V11" si="5">U9*T9</f>
        <v>12.665999999999999</v>
      </c>
      <c r="Y9" t="s">
        <v>117</v>
      </c>
      <c r="Z9" s="113" t="s">
        <v>114</v>
      </c>
      <c r="AA9" s="113">
        <v>72</v>
      </c>
    </row>
    <row r="10" spans="2:27">
      <c r="B10" s="153" t="s">
        <v>23</v>
      </c>
      <c r="C10" s="154"/>
      <c r="D10" s="155">
        <v>51.9</v>
      </c>
      <c r="E10" s="148">
        <v>1</v>
      </c>
      <c r="F10" s="155">
        <f t="shared" si="4"/>
        <v>51.9</v>
      </c>
      <c r="I10" s="151">
        <v>16</v>
      </c>
      <c r="J10" s="157">
        <v>162.13</v>
      </c>
      <c r="K10" s="149">
        <v>12</v>
      </c>
      <c r="L10" s="156">
        <f t="shared" si="0"/>
        <v>81.064999999999998</v>
      </c>
      <c r="M10" s="157">
        <f t="shared" si="1"/>
        <v>13.510833333333332</v>
      </c>
      <c r="Q10" s="167" t="s">
        <v>106</v>
      </c>
      <c r="R10" s="170">
        <v>1400</v>
      </c>
      <c r="S10" s="150">
        <v>200</v>
      </c>
      <c r="T10" s="170">
        <f t="shared" si="2"/>
        <v>7</v>
      </c>
      <c r="U10" s="150">
        <v>1</v>
      </c>
      <c r="V10" s="170">
        <f t="shared" si="5"/>
        <v>7</v>
      </c>
      <c r="Y10" t="s">
        <v>118</v>
      </c>
      <c r="Z10" s="113" t="s">
        <v>112</v>
      </c>
      <c r="AA10" s="113">
        <v>41</v>
      </c>
    </row>
    <row r="11" spans="2:27">
      <c r="B11" s="153" t="s">
        <v>105</v>
      </c>
      <c r="C11" s="154"/>
      <c r="D11" s="155">
        <v>46.9</v>
      </c>
      <c r="E11" s="148">
        <v>1</v>
      </c>
      <c r="F11" s="155">
        <f t="shared" si="4"/>
        <v>46.9</v>
      </c>
      <c r="I11" s="150">
        <v>20</v>
      </c>
      <c r="J11" s="155">
        <v>259.58999999999997</v>
      </c>
      <c r="K11" s="148">
        <v>12</v>
      </c>
      <c r="L11" s="156">
        <f t="shared" si="0"/>
        <v>129.79499999999999</v>
      </c>
      <c r="M11" s="155">
        <f t="shared" si="1"/>
        <v>21.632499999999997</v>
      </c>
      <c r="Q11" s="166" t="s">
        <v>20</v>
      </c>
      <c r="R11" s="171">
        <v>2180</v>
      </c>
      <c r="S11" s="172">
        <v>200</v>
      </c>
      <c r="T11" s="170">
        <f t="shared" si="2"/>
        <v>10.9</v>
      </c>
      <c r="U11" s="172">
        <v>0.05</v>
      </c>
      <c r="V11" s="170">
        <f t="shared" si="5"/>
        <v>0.54500000000000004</v>
      </c>
      <c r="Y11" t="s">
        <v>119</v>
      </c>
      <c r="Z11" s="113" t="s">
        <v>114</v>
      </c>
      <c r="AA11" s="113">
        <v>5</v>
      </c>
    </row>
    <row r="12" spans="2:27">
      <c r="B12" s="153" t="s">
        <v>104</v>
      </c>
      <c r="C12" s="154"/>
      <c r="D12" s="155">
        <v>69</v>
      </c>
      <c r="E12" s="148">
        <v>1</v>
      </c>
      <c r="F12" s="155">
        <f t="shared" si="4"/>
        <v>69</v>
      </c>
      <c r="I12" s="152" t="s">
        <v>148</v>
      </c>
      <c r="J12" s="157">
        <v>1686</v>
      </c>
      <c r="K12" s="149">
        <v>120</v>
      </c>
      <c r="L12" s="156">
        <f t="shared" si="0"/>
        <v>843</v>
      </c>
      <c r="M12" s="157">
        <f t="shared" si="1"/>
        <v>14.05</v>
      </c>
      <c r="Q12" s="168" t="s">
        <v>146</v>
      </c>
      <c r="R12" s="171"/>
      <c r="S12" s="172"/>
      <c r="T12" s="171"/>
      <c r="U12" s="172">
        <v>175</v>
      </c>
      <c r="V12" s="175"/>
      <c r="Y12" t="s">
        <v>120</v>
      </c>
      <c r="Z12" s="113" t="s">
        <v>114</v>
      </c>
      <c r="AA12" s="113">
        <v>32</v>
      </c>
    </row>
    <row r="13" spans="2:27">
      <c r="B13" s="153" t="s">
        <v>83</v>
      </c>
      <c r="C13" s="154"/>
      <c r="D13" s="155">
        <v>89.9</v>
      </c>
      <c r="E13" s="148">
        <v>1</v>
      </c>
      <c r="F13" s="155">
        <f t="shared" si="4"/>
        <v>89.9</v>
      </c>
      <c r="I13" s="151"/>
      <c r="J13" s="157"/>
      <c r="K13" s="149"/>
      <c r="L13" s="158"/>
      <c r="M13" s="158"/>
      <c r="Q13" s="169" t="s">
        <v>147</v>
      </c>
      <c r="R13" s="176"/>
      <c r="S13" s="176"/>
      <c r="T13" s="177" t="s">
        <v>51</v>
      </c>
      <c r="U13" s="176">
        <f>SUM(U5:U12)</f>
        <v>2377.25</v>
      </c>
      <c r="V13" s="178">
        <f>SUM(V5:V11)</f>
        <v>426.00600000000003</v>
      </c>
      <c r="Y13" t="s">
        <v>121</v>
      </c>
      <c r="Z13" s="113" t="s">
        <v>114</v>
      </c>
      <c r="AA13" s="113">
        <v>74</v>
      </c>
    </row>
    <row r="14" spans="2:27">
      <c r="B14" s="153" t="s">
        <v>3</v>
      </c>
      <c r="C14" s="154" t="s">
        <v>25</v>
      </c>
      <c r="D14" s="155">
        <v>106.2</v>
      </c>
      <c r="E14" s="148">
        <v>6</v>
      </c>
      <c r="F14" s="155">
        <f t="shared" si="4"/>
        <v>17.7</v>
      </c>
      <c r="I14" s="150" t="s">
        <v>9</v>
      </c>
      <c r="J14" s="155">
        <v>27</v>
      </c>
      <c r="K14" s="148">
        <v>1</v>
      </c>
      <c r="L14" s="156" t="s">
        <v>21</v>
      </c>
      <c r="M14" s="155">
        <f>J14</f>
        <v>27</v>
      </c>
      <c r="Y14" t="s">
        <v>122</v>
      </c>
      <c r="Z14" s="113" t="s">
        <v>114</v>
      </c>
      <c r="AA14" s="113">
        <v>53</v>
      </c>
    </row>
    <row r="15" spans="2:27">
      <c r="B15" s="153" t="s">
        <v>4</v>
      </c>
      <c r="C15" s="154" t="s">
        <v>29</v>
      </c>
      <c r="D15" s="155">
        <v>117.8</v>
      </c>
      <c r="E15" s="148">
        <v>6</v>
      </c>
      <c r="F15" s="155">
        <f t="shared" si="4"/>
        <v>19.633333333333333</v>
      </c>
      <c r="I15" s="150"/>
      <c r="J15" s="155"/>
      <c r="K15" s="148"/>
      <c r="L15" s="156"/>
      <c r="M15" s="155"/>
      <c r="Y15" t="s">
        <v>123</v>
      </c>
      <c r="Z15" s="113" t="s">
        <v>114</v>
      </c>
      <c r="AA15" s="113">
        <v>93</v>
      </c>
    </row>
    <row r="16" spans="2:27">
      <c r="B16" s="153" t="s">
        <v>5</v>
      </c>
      <c r="C16" s="154" t="s">
        <v>30</v>
      </c>
      <c r="D16" s="155">
        <v>136.80000000000001</v>
      </c>
      <c r="E16" s="148">
        <v>6</v>
      </c>
      <c r="F16" s="155">
        <f t="shared" si="4"/>
        <v>22.8</v>
      </c>
      <c r="I16" s="180" t="s">
        <v>144</v>
      </c>
      <c r="J16" s="157">
        <v>140</v>
      </c>
      <c r="K16" s="149">
        <v>500</v>
      </c>
      <c r="L16" s="156" t="s">
        <v>21</v>
      </c>
      <c r="M16" s="159">
        <f>J16/K16</f>
        <v>0.28000000000000003</v>
      </c>
      <c r="Y16" t="s">
        <v>124</v>
      </c>
      <c r="Z16" s="113" t="s">
        <v>112</v>
      </c>
      <c r="AA16" s="113">
        <v>90</v>
      </c>
    </row>
    <row r="17" spans="2:27">
      <c r="B17" s="153" t="s">
        <v>96</v>
      </c>
      <c r="C17" s="154" t="s">
        <v>97</v>
      </c>
      <c r="D17" s="155">
        <v>155.80000000000001</v>
      </c>
      <c r="E17" s="148">
        <v>6</v>
      </c>
      <c r="F17" s="155">
        <f t="shared" si="4"/>
        <v>25.966666666666669</v>
      </c>
      <c r="I17"/>
      <c r="Y17" t="s">
        <v>125</v>
      </c>
      <c r="Z17" s="113" t="s">
        <v>112</v>
      </c>
      <c r="AA17" s="113">
        <v>67</v>
      </c>
    </row>
    <row r="18" spans="2:27">
      <c r="B18" s="153" t="s">
        <v>6</v>
      </c>
      <c r="C18" s="154" t="s">
        <v>26</v>
      </c>
      <c r="D18" s="155">
        <v>85.9</v>
      </c>
      <c r="E18" s="148">
        <v>6</v>
      </c>
      <c r="F18" s="155">
        <f t="shared" si="4"/>
        <v>14.316666666666668</v>
      </c>
      <c r="I18"/>
      <c r="Y18" t="s">
        <v>126</v>
      </c>
      <c r="Z18" s="113" t="s">
        <v>112</v>
      </c>
      <c r="AA18" s="113">
        <v>61</v>
      </c>
    </row>
    <row r="19" spans="2:27">
      <c r="B19" s="153" t="s">
        <v>7</v>
      </c>
      <c r="C19" s="154" t="s">
        <v>31</v>
      </c>
      <c r="D19" s="155">
        <v>97.3</v>
      </c>
      <c r="E19" s="148">
        <v>6</v>
      </c>
      <c r="F19" s="155">
        <f t="shared" si="4"/>
        <v>16.216666666666665</v>
      </c>
      <c r="I19" s="216" t="s">
        <v>299</v>
      </c>
      <c r="J19" s="217" t="s">
        <v>300</v>
      </c>
      <c r="Y19" t="s">
        <v>127</v>
      </c>
      <c r="Z19" s="113" t="s">
        <v>112</v>
      </c>
      <c r="AA19" s="113">
        <v>112</v>
      </c>
    </row>
    <row r="20" spans="2:27">
      <c r="B20" s="153" t="s">
        <v>98</v>
      </c>
      <c r="C20" s="154" t="s">
        <v>99</v>
      </c>
      <c r="D20" s="155">
        <v>114.5</v>
      </c>
      <c r="E20" s="148">
        <v>6</v>
      </c>
      <c r="F20" s="155">
        <f t="shared" si="4"/>
        <v>19.083333333333332</v>
      </c>
      <c r="G20" s="108"/>
      <c r="I20"/>
      <c r="Y20" t="s">
        <v>128</v>
      </c>
      <c r="Z20" s="113" t="s">
        <v>112</v>
      </c>
      <c r="AA20" s="113">
        <v>85</v>
      </c>
    </row>
    <row r="21" spans="2:27">
      <c r="B21" s="153" t="s">
        <v>143</v>
      </c>
      <c r="C21" s="154" t="s">
        <v>27</v>
      </c>
      <c r="D21" s="155">
        <v>103.36</v>
      </c>
      <c r="E21" s="148">
        <v>6</v>
      </c>
      <c r="F21" s="155">
        <f t="shared" si="4"/>
        <v>17.226666666666667</v>
      </c>
      <c r="G21" s="108"/>
      <c r="I21" s="193"/>
      <c r="J21" s="193"/>
      <c r="K21" s="193"/>
      <c r="L21" s="193"/>
      <c r="M21" s="193"/>
      <c r="N21" s="193"/>
      <c r="Y21" t="s">
        <v>129</v>
      </c>
      <c r="Z21" s="113" t="s">
        <v>112</v>
      </c>
      <c r="AA21" s="113">
        <v>70</v>
      </c>
    </row>
    <row r="22" spans="2:27">
      <c r="B22" s="153" t="s">
        <v>142</v>
      </c>
      <c r="C22" s="154" t="s">
        <v>32</v>
      </c>
      <c r="D22" s="155">
        <v>115.5</v>
      </c>
      <c r="E22" s="148">
        <v>6</v>
      </c>
      <c r="F22" s="155">
        <f t="shared" si="4"/>
        <v>19.25</v>
      </c>
      <c r="G22" s="108"/>
      <c r="I22" s="183"/>
      <c r="J22" s="183"/>
      <c r="K22" s="222"/>
      <c r="L22" s="223"/>
      <c r="M22" s="222"/>
      <c r="N22" s="193"/>
      <c r="Y22" t="s">
        <v>130</v>
      </c>
      <c r="Z22" s="113" t="s">
        <v>112</v>
      </c>
      <c r="AA22" s="113">
        <v>126</v>
      </c>
    </row>
    <row r="23" spans="2:27">
      <c r="B23" s="153" t="s">
        <v>141</v>
      </c>
      <c r="C23" s="154" t="s">
        <v>100</v>
      </c>
      <c r="D23" s="155">
        <v>148.5</v>
      </c>
      <c r="E23" s="148">
        <v>6</v>
      </c>
      <c r="F23" s="155">
        <f t="shared" si="4"/>
        <v>24.75</v>
      </c>
      <c r="G23" s="108"/>
      <c r="I23" s="183"/>
      <c r="J23" s="183"/>
      <c r="K23" s="222"/>
      <c r="L23" s="223"/>
      <c r="M23" s="222"/>
      <c r="N23" s="193"/>
      <c r="Y23" t="s">
        <v>131</v>
      </c>
      <c r="Z23" s="113" t="s">
        <v>114</v>
      </c>
      <c r="AA23" s="113">
        <v>117</v>
      </c>
    </row>
    <row r="24" spans="2:27">
      <c r="B24" s="153" t="s">
        <v>8</v>
      </c>
      <c r="C24" s="154" t="s">
        <v>28</v>
      </c>
      <c r="D24" s="155">
        <v>123.12</v>
      </c>
      <c r="E24" s="148">
        <v>6</v>
      </c>
      <c r="F24" s="155">
        <f t="shared" si="4"/>
        <v>20.52</v>
      </c>
      <c r="G24" s="108"/>
      <c r="I24" s="183"/>
      <c r="J24" s="183"/>
      <c r="K24" s="222"/>
      <c r="L24" s="223"/>
      <c r="M24" s="222"/>
      <c r="N24" s="193"/>
    </row>
    <row r="25" spans="2:27">
      <c r="B25" s="153" t="s">
        <v>10</v>
      </c>
      <c r="C25" s="154" t="s">
        <v>33</v>
      </c>
      <c r="D25" s="155">
        <v>139.08000000000001</v>
      </c>
      <c r="E25" s="148">
        <v>6</v>
      </c>
      <c r="F25" s="155">
        <f t="shared" si="4"/>
        <v>23.180000000000003</v>
      </c>
      <c r="G25" s="108"/>
      <c r="I25" s="183"/>
      <c r="J25" s="183"/>
      <c r="K25" s="222"/>
      <c r="L25" s="223"/>
      <c r="M25" s="222"/>
      <c r="N25" s="193"/>
    </row>
    <row r="26" spans="2:27">
      <c r="B26" s="153" t="s">
        <v>11</v>
      </c>
      <c r="C26" s="154" t="s">
        <v>34</v>
      </c>
      <c r="D26" s="155">
        <v>162.33000000000001</v>
      </c>
      <c r="E26" s="148">
        <v>6</v>
      </c>
      <c r="F26" s="155">
        <f t="shared" si="4"/>
        <v>27.055000000000003</v>
      </c>
      <c r="G26" s="108"/>
      <c r="I26" s="183"/>
      <c r="J26" s="183"/>
      <c r="K26" s="222"/>
      <c r="L26" s="223"/>
      <c r="M26" s="222"/>
      <c r="N26" s="193"/>
    </row>
    <row r="27" spans="2:27">
      <c r="B27" s="153" t="s">
        <v>74</v>
      </c>
      <c r="C27" s="154" t="s">
        <v>75</v>
      </c>
      <c r="D27" s="155">
        <v>182.85</v>
      </c>
      <c r="E27" s="148">
        <v>6</v>
      </c>
      <c r="F27" s="155">
        <f t="shared" si="4"/>
        <v>30.474999999999998</v>
      </c>
      <c r="I27" s="183"/>
      <c r="J27" s="183"/>
      <c r="K27" s="222"/>
      <c r="L27" s="223"/>
      <c r="M27" s="222"/>
      <c r="N27" s="193"/>
    </row>
    <row r="28" spans="2:27">
      <c r="B28" s="153" t="s">
        <v>101</v>
      </c>
      <c r="C28" s="154">
        <v>2</v>
      </c>
      <c r="D28" s="155">
        <v>123.12</v>
      </c>
      <c r="E28" s="148">
        <v>6</v>
      </c>
      <c r="F28" s="155">
        <f t="shared" si="4"/>
        <v>20.52</v>
      </c>
      <c r="G28" s="109"/>
      <c r="I28" s="183"/>
      <c r="J28" s="183"/>
      <c r="K28" s="222"/>
      <c r="L28" s="223"/>
      <c r="M28" s="222"/>
      <c r="N28" s="193"/>
    </row>
    <row r="29" spans="2:27">
      <c r="B29" s="153" t="s">
        <v>102</v>
      </c>
      <c r="C29" s="154">
        <v>2.25</v>
      </c>
      <c r="D29" s="155">
        <v>137.56</v>
      </c>
      <c r="E29" s="148">
        <v>6</v>
      </c>
      <c r="F29" s="155">
        <f t="shared" si="4"/>
        <v>22.926666666666666</v>
      </c>
      <c r="I29" s="183"/>
      <c r="J29" s="183"/>
      <c r="K29" s="222"/>
      <c r="L29" s="223"/>
      <c r="M29" s="222"/>
      <c r="N29" s="193"/>
    </row>
    <row r="30" spans="2:27">
      <c r="B30" s="153" t="s">
        <v>103</v>
      </c>
      <c r="C30" s="154">
        <v>2.65</v>
      </c>
      <c r="D30" s="155">
        <v>162.63999999999999</v>
      </c>
      <c r="E30" s="148">
        <v>6</v>
      </c>
      <c r="F30" s="155">
        <f t="shared" si="4"/>
        <v>27.106666666666666</v>
      </c>
      <c r="I30" s="183"/>
      <c r="J30" s="183"/>
      <c r="K30" s="222"/>
      <c r="L30" s="223"/>
      <c r="M30" s="222"/>
      <c r="N30" s="193"/>
    </row>
    <row r="31" spans="2:27">
      <c r="B31" s="153" t="s">
        <v>12</v>
      </c>
      <c r="C31" s="154" t="s">
        <v>21</v>
      </c>
      <c r="D31" s="155">
        <v>22.8</v>
      </c>
      <c r="E31" s="148">
        <v>12</v>
      </c>
      <c r="F31" s="155">
        <f t="shared" si="4"/>
        <v>1.9000000000000001</v>
      </c>
      <c r="I31" s="183"/>
      <c r="J31" s="183"/>
      <c r="K31" s="222"/>
      <c r="L31" s="223"/>
      <c r="M31" s="222"/>
      <c r="N31" s="193"/>
    </row>
    <row r="32" spans="2:27">
      <c r="B32" s="153" t="s">
        <v>13</v>
      </c>
      <c r="C32" s="154" t="s">
        <v>21</v>
      </c>
      <c r="D32" s="155">
        <v>35</v>
      </c>
      <c r="E32" s="148">
        <v>12</v>
      </c>
      <c r="F32" s="155">
        <f t="shared" si="4"/>
        <v>2.9166666666666665</v>
      </c>
      <c r="I32" s="183"/>
      <c r="J32" s="183"/>
      <c r="K32" s="222"/>
      <c r="L32" s="223"/>
      <c r="M32" s="222"/>
      <c r="N32" s="193"/>
    </row>
    <row r="33" spans="2:14">
      <c r="B33" s="153" t="s">
        <v>14</v>
      </c>
      <c r="C33" s="154"/>
      <c r="D33" s="155"/>
      <c r="E33" s="148">
        <v>6</v>
      </c>
      <c r="F33" s="155">
        <f t="shared" si="4"/>
        <v>0</v>
      </c>
      <c r="I33" s="183"/>
      <c r="J33" s="183"/>
      <c r="K33" s="222"/>
      <c r="L33" s="223"/>
      <c r="M33" s="222"/>
      <c r="N33" s="193"/>
    </row>
    <row r="34" spans="2:14">
      <c r="B34" s="153" t="s">
        <v>84</v>
      </c>
      <c r="C34" s="154"/>
      <c r="D34" s="155">
        <v>37.51</v>
      </c>
      <c r="E34" s="148">
        <v>1</v>
      </c>
      <c r="F34" s="155">
        <f t="shared" si="4"/>
        <v>37.51</v>
      </c>
      <c r="I34" s="183"/>
      <c r="J34" s="183"/>
      <c r="K34" s="222"/>
      <c r="L34" s="223"/>
      <c r="M34" s="222"/>
      <c r="N34" s="193"/>
    </row>
    <row r="35" spans="2:14">
      <c r="B35" s="231" t="s">
        <v>94</v>
      </c>
      <c r="C35" s="231"/>
      <c r="D35" s="231"/>
      <c r="I35" s="183"/>
      <c r="J35" s="183"/>
      <c r="K35" s="222"/>
      <c r="L35" s="223"/>
      <c r="M35" s="222"/>
      <c r="N35" s="193"/>
    </row>
    <row r="36" spans="2:14">
      <c r="B36" s="103"/>
      <c r="C36" s="103"/>
      <c r="D36" s="104" t="s">
        <v>93</v>
      </c>
      <c r="E36" s="100"/>
      <c r="F36" s="100"/>
      <c r="I36" s="183"/>
      <c r="J36" s="183"/>
      <c r="K36" s="222"/>
      <c r="L36" s="223"/>
      <c r="M36" s="222"/>
      <c r="N36" s="193"/>
    </row>
    <row r="37" spans="2:14">
      <c r="B37" s="101" t="s">
        <v>88</v>
      </c>
      <c r="C37" s="102">
        <v>13</v>
      </c>
      <c r="D37" s="229">
        <v>2</v>
      </c>
      <c r="I37" s="183"/>
      <c r="J37" s="183"/>
      <c r="K37" s="222"/>
      <c r="L37" s="223"/>
      <c r="M37" s="222"/>
      <c r="N37" s="193"/>
    </row>
    <row r="38" spans="2:14">
      <c r="B38" s="97" t="s">
        <v>89</v>
      </c>
      <c r="C38" s="94">
        <v>75</v>
      </c>
      <c r="D38" s="229"/>
      <c r="I38" s="183"/>
      <c r="J38" s="183"/>
      <c r="K38" s="222"/>
      <c r="L38" s="223"/>
      <c r="M38" s="222"/>
      <c r="N38" s="193"/>
    </row>
    <row r="39" spans="2:14" ht="15" thickBot="1">
      <c r="B39" s="98" t="s">
        <v>90</v>
      </c>
      <c r="C39" s="99">
        <v>68</v>
      </c>
      <c r="D39" s="230"/>
      <c r="I39" s="183"/>
      <c r="J39" s="183"/>
      <c r="K39" s="222"/>
      <c r="L39" s="223"/>
      <c r="M39" s="222"/>
      <c r="N39" s="193"/>
    </row>
    <row r="40" spans="2:14">
      <c r="B40" s="95" t="s">
        <v>88</v>
      </c>
      <c r="C40" s="96">
        <v>14</v>
      </c>
      <c r="D40" s="228">
        <v>2.65</v>
      </c>
      <c r="I40" s="183"/>
      <c r="J40" s="183"/>
      <c r="K40" s="222"/>
      <c r="L40" s="223"/>
      <c r="M40" s="222"/>
      <c r="N40" s="193"/>
    </row>
    <row r="41" spans="2:14">
      <c r="B41" s="97" t="s">
        <v>89</v>
      </c>
      <c r="C41" s="94">
        <v>75</v>
      </c>
      <c r="D41" s="229"/>
      <c r="I41" s="183"/>
      <c r="J41" s="183"/>
      <c r="K41" s="222"/>
      <c r="L41" s="223"/>
      <c r="M41" s="222"/>
      <c r="N41" s="193"/>
    </row>
    <row r="42" spans="2:14" ht="15" thickBot="1">
      <c r="B42" s="98" t="s">
        <v>90</v>
      </c>
      <c r="C42" s="99">
        <v>68</v>
      </c>
      <c r="D42" s="230"/>
      <c r="I42" s="183"/>
      <c r="J42" s="183"/>
      <c r="K42" s="222"/>
      <c r="L42" s="223"/>
      <c r="M42" s="222"/>
      <c r="N42" s="193"/>
    </row>
    <row r="43" spans="2:14">
      <c r="B43" s="95" t="s">
        <v>88</v>
      </c>
      <c r="C43" s="96">
        <v>16</v>
      </c>
      <c r="D43" s="228">
        <v>3</v>
      </c>
      <c r="I43"/>
    </row>
    <row r="44" spans="2:14">
      <c r="B44" s="97" t="s">
        <v>89</v>
      </c>
      <c r="C44" s="94">
        <v>100</v>
      </c>
      <c r="D44" s="229"/>
    </row>
    <row r="45" spans="2:14" ht="15" thickBot="1">
      <c r="B45" s="98" t="s">
        <v>90</v>
      </c>
      <c r="C45" s="99">
        <v>92</v>
      </c>
      <c r="D45" s="230"/>
    </row>
    <row r="46" spans="2:14">
      <c r="B46" s="95" t="s">
        <v>88</v>
      </c>
      <c r="C46" s="96">
        <v>18</v>
      </c>
      <c r="D46" s="228">
        <v>2</v>
      </c>
    </row>
    <row r="47" spans="2:14">
      <c r="B47" s="97" t="s">
        <v>89</v>
      </c>
      <c r="C47" s="94">
        <v>100</v>
      </c>
      <c r="D47" s="229"/>
    </row>
    <row r="48" spans="2:14" ht="15" thickBot="1">
      <c r="B48" s="98" t="s">
        <v>90</v>
      </c>
      <c r="C48" s="99">
        <v>92</v>
      </c>
      <c r="D48" s="230"/>
    </row>
    <row r="49" spans="2:4">
      <c r="B49" s="95" t="s">
        <v>88</v>
      </c>
      <c r="C49" s="96" t="s">
        <v>91</v>
      </c>
      <c r="D49" s="228">
        <v>2.65</v>
      </c>
    </row>
    <row r="50" spans="2:4">
      <c r="B50" s="97" t="s">
        <v>89</v>
      </c>
      <c r="C50" s="94">
        <v>100</v>
      </c>
      <c r="D50" s="229"/>
    </row>
    <row r="51" spans="2:4" ht="15" thickBot="1">
      <c r="B51" s="98" t="s">
        <v>90</v>
      </c>
      <c r="C51" s="99">
        <v>92</v>
      </c>
      <c r="D51" s="230"/>
    </row>
    <row r="52" spans="2:4">
      <c r="B52" s="95" t="s">
        <v>88</v>
      </c>
      <c r="C52" s="96" t="s">
        <v>92</v>
      </c>
      <c r="D52" s="228">
        <v>3</v>
      </c>
    </row>
    <row r="53" spans="2:4">
      <c r="B53" s="97" t="s">
        <v>89</v>
      </c>
      <c r="C53" s="94">
        <v>120</v>
      </c>
      <c r="D53" s="229"/>
    </row>
    <row r="54" spans="2:4" ht="15" thickBot="1">
      <c r="B54" s="98" t="s">
        <v>90</v>
      </c>
      <c r="C54" s="99"/>
      <c r="D54" s="230"/>
    </row>
  </sheetData>
  <mergeCells count="8">
    <mergeCell ref="D49:D51"/>
    <mergeCell ref="D52:D54"/>
    <mergeCell ref="B35:D35"/>
    <mergeCell ref="B2:P2"/>
    <mergeCell ref="D37:D39"/>
    <mergeCell ref="D40:D42"/>
    <mergeCell ref="D43:D45"/>
    <mergeCell ref="D46:D48"/>
  </mergeCells>
  <phoneticPr fontId="8" type="noConversion"/>
  <dataValidations disablePrompts="1" count="1">
    <dataValidation type="list" allowBlank="1" showInputMessage="1" showErrorMessage="1" errorTitle="seu burro" error="selecione da lista" promptTitle="Escolha o elemento" sqref="H18">
      <formula1>$B$5:$B$31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J100"/>
  <sheetViews>
    <sheetView showGridLines="0" topLeftCell="A58" workbookViewId="0">
      <selection activeCell="C9" sqref="C9"/>
    </sheetView>
  </sheetViews>
  <sheetFormatPr defaultRowHeight="14.4"/>
  <cols>
    <col min="2" max="2" width="19.44140625" customWidth="1"/>
    <col min="3" max="3" width="18.6640625" customWidth="1"/>
    <col min="4" max="4" width="20.88671875" style="8" customWidth="1"/>
    <col min="5" max="5" width="12.88671875" bestFit="1" customWidth="1"/>
    <col min="7" max="7" width="12.6640625" bestFit="1" customWidth="1"/>
    <col min="8" max="8" width="10.6640625" bestFit="1" customWidth="1"/>
    <col min="11" max="11" width="12.6640625" bestFit="1" customWidth="1"/>
    <col min="12" max="12" width="11.6640625" bestFit="1" customWidth="1"/>
  </cols>
  <sheetData>
    <row r="2" spans="2:5">
      <c r="B2" s="5"/>
      <c r="C2" s="5" t="s">
        <v>149</v>
      </c>
      <c r="D2" s="119" t="str">
        <f>D4&amp;"x"&amp;D5</f>
        <v>9x60</v>
      </c>
    </row>
    <row r="3" spans="2:5">
      <c r="B3" s="5"/>
      <c r="C3" s="5" t="s">
        <v>37</v>
      </c>
      <c r="D3" s="104">
        <f>D4*D5</f>
        <v>540</v>
      </c>
    </row>
    <row r="4" spans="2:5">
      <c r="B4" s="5"/>
      <c r="C4" s="5" t="s">
        <v>150</v>
      </c>
      <c r="D4" s="186">
        <v>9</v>
      </c>
    </row>
    <row r="5" spans="2:5">
      <c r="B5" s="5"/>
      <c r="C5" s="5" t="s">
        <v>151</v>
      </c>
      <c r="D5" s="186">
        <v>60</v>
      </c>
      <c r="E5" s="115"/>
    </row>
    <row r="6" spans="2:5">
      <c r="B6" s="5"/>
      <c r="C6" s="5" t="s">
        <v>152</v>
      </c>
      <c r="D6" s="186">
        <v>5</v>
      </c>
      <c r="E6" s="115"/>
    </row>
    <row r="7" spans="2:5">
      <c r="B7" s="5"/>
      <c r="C7" s="5" t="s">
        <v>153</v>
      </c>
      <c r="D7" s="104">
        <f>D4</f>
        <v>9</v>
      </c>
    </row>
    <row r="8" spans="2:5">
      <c r="B8" s="5"/>
      <c r="C8" s="5" t="s">
        <v>154</v>
      </c>
      <c r="D8" s="104">
        <f>D5</f>
        <v>60</v>
      </c>
    </row>
    <row r="9" spans="2:5">
      <c r="B9" s="5" t="s">
        <v>155</v>
      </c>
      <c r="C9" s="185"/>
      <c r="D9" s="134"/>
    </row>
    <row r="10" spans="2:5">
      <c r="B10" s="5" t="s">
        <v>156</v>
      </c>
      <c r="C10" s="184" t="s">
        <v>111</v>
      </c>
      <c r="D10" s="134" t="str">
        <f>VLOOKUP(C10,B64:C83,2,0)</f>
        <v>SC</v>
      </c>
    </row>
    <row r="11" spans="2:5">
      <c r="B11" s="5" t="s">
        <v>163</v>
      </c>
      <c r="C11" s="184" t="s">
        <v>134</v>
      </c>
      <c r="D11" s="134"/>
    </row>
    <row r="12" spans="2:5">
      <c r="B12" s="5" t="s">
        <v>157</v>
      </c>
      <c r="C12" s="184" t="s">
        <v>134</v>
      </c>
      <c r="D12" s="134"/>
    </row>
    <row r="13" spans="2:5">
      <c r="B13" s="5" t="s">
        <v>162</v>
      </c>
      <c r="C13" s="184" t="s">
        <v>134</v>
      </c>
      <c r="D13" s="134"/>
    </row>
    <row r="14" spans="2:5">
      <c r="B14" s="5" t="s">
        <v>138</v>
      </c>
      <c r="C14" s="184" t="s">
        <v>134</v>
      </c>
      <c r="D14" s="134"/>
    </row>
    <row r="15" spans="2:5" ht="15.6" customHeight="1">
      <c r="B15" s="5" t="s">
        <v>161</v>
      </c>
      <c r="C15" s="184" t="s">
        <v>22</v>
      </c>
      <c r="D15" s="134"/>
    </row>
    <row r="16" spans="2:5" ht="15.6" customHeight="1">
      <c r="B16" s="5" t="s">
        <v>160</v>
      </c>
      <c r="C16" s="184" t="s">
        <v>135</v>
      </c>
      <c r="D16" s="134"/>
    </row>
    <row r="17" spans="2:4" ht="15.6" customHeight="1">
      <c r="B17" s="5" t="s">
        <v>159</v>
      </c>
      <c r="C17" s="184" t="s">
        <v>134</v>
      </c>
      <c r="D17" s="134"/>
    </row>
    <row r="18" spans="2:4" ht="15.6" customHeight="1">
      <c r="B18" s="5" t="s">
        <v>158</v>
      </c>
      <c r="C18" s="184" t="s">
        <v>133</v>
      </c>
      <c r="D18" s="134"/>
    </row>
    <row r="19" spans="2:4" ht="15.6" customHeight="1">
      <c r="B19" s="5" t="s">
        <v>137</v>
      </c>
      <c r="C19" s="184" t="s">
        <v>134</v>
      </c>
      <c r="D19" s="134"/>
    </row>
    <row r="20" spans="2:4" ht="15.6" customHeight="1">
      <c r="B20" s="5" t="s">
        <v>41</v>
      </c>
      <c r="C20" s="184" t="s">
        <v>134</v>
      </c>
      <c r="D20" s="134"/>
    </row>
    <row r="21" spans="2:4" ht="15.6" customHeight="1">
      <c r="B21" s="5" t="s">
        <v>157</v>
      </c>
      <c r="C21" s="184" t="s">
        <v>134</v>
      </c>
      <c r="D21" s="134"/>
    </row>
    <row r="22" spans="2:4">
      <c r="B22" s="5"/>
      <c r="C22" s="187"/>
      <c r="D22" s="134"/>
    </row>
    <row r="23" spans="2:4">
      <c r="B23" s="5"/>
      <c r="C23" s="187"/>
      <c r="D23" s="134"/>
    </row>
    <row r="24" spans="2:4">
      <c r="B24" s="5"/>
      <c r="C24" s="187"/>
      <c r="D24" s="134"/>
    </row>
    <row r="26" spans="2:4">
      <c r="B26" s="5" t="s">
        <v>164</v>
      </c>
      <c r="C26" s="119">
        <f>COBERTURA!C25</f>
        <v>11105.9</v>
      </c>
      <c r="D26" s="119">
        <f>C26*2</f>
        <v>22211.8</v>
      </c>
    </row>
    <row r="27" spans="2:4">
      <c r="B27" s="5" t="s">
        <v>161</v>
      </c>
      <c r="C27" s="119">
        <f>COBERTURA!C31</f>
        <v>22955.49</v>
      </c>
      <c r="D27" s="119">
        <f>C27+(C27*0.3)</f>
        <v>29842.137000000002</v>
      </c>
    </row>
    <row r="28" spans="2:4">
      <c r="B28" s="5" t="s">
        <v>165</v>
      </c>
      <c r="C28" s="119">
        <f>COBERTURA!C40</f>
        <v>11265.48</v>
      </c>
      <c r="D28" s="119">
        <f>C28*2</f>
        <v>22530.959999999999</v>
      </c>
    </row>
    <row r="29" spans="2:4">
      <c r="B29" s="5" t="s">
        <v>166</v>
      </c>
      <c r="C29" s="119">
        <f>COBERTURA!C47</f>
        <v>800</v>
      </c>
      <c r="D29" s="119">
        <f>C29*2</f>
        <v>1600</v>
      </c>
    </row>
    <row r="30" spans="2:4">
      <c r="B30" s="5" t="s">
        <v>84</v>
      </c>
      <c r="C30" s="119">
        <f>COBERTURA!C52</f>
        <v>2288.1099999999997</v>
      </c>
      <c r="D30" s="119">
        <f>C30*2</f>
        <v>4576.2199999999993</v>
      </c>
    </row>
    <row r="31" spans="2:4">
      <c r="B31" s="5" t="s">
        <v>159</v>
      </c>
      <c r="C31" s="119">
        <f>IF(C17=C57,FECHAMENTOS!C9,0)</f>
        <v>0</v>
      </c>
      <c r="D31" s="119">
        <f>C31*2</f>
        <v>0</v>
      </c>
    </row>
    <row r="32" spans="2:4">
      <c r="B32" s="5" t="s">
        <v>167</v>
      </c>
      <c r="C32" s="119">
        <f>PILARES!C22</f>
        <v>14135.852674666667</v>
      </c>
      <c r="D32" s="119">
        <f>C32*2</f>
        <v>28271.705349333333</v>
      </c>
    </row>
    <row r="33" spans="2:7">
      <c r="B33" s="5" t="s">
        <v>168</v>
      </c>
      <c r="C33" s="119">
        <f>CÁLICES!C11</f>
        <v>5200</v>
      </c>
      <c r="D33" s="119">
        <f t="shared" ref="D33:D37" si="0">C33*2</f>
        <v>10400</v>
      </c>
    </row>
    <row r="34" spans="2:7">
      <c r="B34" s="5"/>
      <c r="C34" s="119"/>
      <c r="D34" s="104"/>
    </row>
    <row r="35" spans="2:7">
      <c r="B35" s="5" t="s">
        <v>137</v>
      </c>
      <c r="C35" s="119">
        <f>IF(C19=C57,LAJE!B5,0)</f>
        <v>0</v>
      </c>
      <c r="D35" s="119">
        <f>C35*2</f>
        <v>0</v>
      </c>
    </row>
    <row r="36" spans="2:7">
      <c r="B36" s="117" t="s">
        <v>41</v>
      </c>
      <c r="C36" s="119">
        <f>IF(C20=C57,VIGAS!C22,0)</f>
        <v>0</v>
      </c>
      <c r="D36" s="119">
        <f>C36*2</f>
        <v>0</v>
      </c>
    </row>
    <row r="37" spans="2:7">
      <c r="B37" s="5" t="s">
        <v>169</v>
      </c>
      <c r="C37" s="119">
        <f>IF(C14=C57,FECHAMENTOS!G18,0)</f>
        <v>0</v>
      </c>
      <c r="D37" s="119">
        <f t="shared" si="0"/>
        <v>0</v>
      </c>
    </row>
    <row r="38" spans="2:7">
      <c r="B38" s="5" t="s">
        <v>170</v>
      </c>
      <c r="C38" s="119">
        <f>C54</f>
        <v>960</v>
      </c>
      <c r="D38" s="119">
        <f>C38*2</f>
        <v>1920</v>
      </c>
    </row>
    <row r="41" spans="2:7">
      <c r="B41" s="140" t="s">
        <v>171</v>
      </c>
      <c r="C41" s="141">
        <f>SUM(C26:C38)</f>
        <v>68710.832674666657</v>
      </c>
      <c r="D41" s="142" t="s">
        <v>139</v>
      </c>
    </row>
    <row r="42" spans="2:7" ht="18" customHeight="1">
      <c r="B42" s="5" t="s">
        <v>158</v>
      </c>
      <c r="C42" s="119">
        <f>IF(C18=C57,C61,0)</f>
        <v>8100</v>
      </c>
      <c r="D42" s="119">
        <f>C42*1</f>
        <v>8100</v>
      </c>
    </row>
    <row r="43" spans="2:7" ht="22.2" customHeight="1">
      <c r="B43" s="5" t="s">
        <v>157</v>
      </c>
      <c r="C43" s="119">
        <f>IF(C21=C57,PORTÃO!C11,0)</f>
        <v>0</v>
      </c>
      <c r="D43" s="119">
        <f>C43*1</f>
        <v>0</v>
      </c>
    </row>
    <row r="44" spans="2:7" s="118" customFormat="1" ht="30" customHeight="1">
      <c r="B44" s="142" t="s">
        <v>172</v>
      </c>
      <c r="C44" s="141">
        <f>C41*2+C42+C43</f>
        <v>145521.66534933331</v>
      </c>
      <c r="D44" s="141">
        <f>SUM(D26:D42)</f>
        <v>129452.82234933334</v>
      </c>
    </row>
    <row r="45" spans="2:7" s="118" customFormat="1" ht="30.75" customHeight="1">
      <c r="B45" s="142" t="s">
        <v>173</v>
      </c>
      <c r="C45" s="141">
        <f>(C44*0.125)+C44</f>
        <v>163711.87351799998</v>
      </c>
      <c r="D45" s="141">
        <f>(D44*0.08)+D44</f>
        <v>139809.04813728001</v>
      </c>
      <c r="F45" s="120"/>
      <c r="G45" s="120"/>
    </row>
    <row r="46" spans="2:7" s="118" customFormat="1" ht="37.799999999999997" customHeight="1">
      <c r="B46" s="121" t="s">
        <v>174</v>
      </c>
      <c r="C46" s="119">
        <f>C45/D3</f>
        <v>303.17013614444443</v>
      </c>
      <c r="D46" s="119">
        <f>D45/D3</f>
        <v>258.90564469866666</v>
      </c>
    </row>
    <row r="47" spans="2:7">
      <c r="B47" t="s">
        <v>21</v>
      </c>
      <c r="C47" s="8"/>
      <c r="D47" s="111"/>
    </row>
    <row r="48" spans="2:7" ht="33" customHeight="1">
      <c r="B48" s="129" t="s">
        <v>175</v>
      </c>
      <c r="C48" s="130">
        <f>D26+D27+D28+D29+D30</f>
        <v>80761.116999999998</v>
      </c>
      <c r="D48" s="131"/>
    </row>
    <row r="49" spans="2:10">
      <c r="D49" s="110"/>
    </row>
    <row r="50" spans="2:10">
      <c r="B50" s="188" t="s">
        <v>170</v>
      </c>
      <c r="C50" s="189"/>
      <c r="D50"/>
    </row>
    <row r="51" spans="2:10">
      <c r="B51" s="5" t="s">
        <v>176</v>
      </c>
      <c r="C51" s="104">
        <f>VLOOKUP(C10,B64:D84,3,0)</f>
        <v>40</v>
      </c>
      <c r="D51"/>
    </row>
    <row r="52" spans="2:10">
      <c r="B52" s="5" t="s">
        <v>177</v>
      </c>
      <c r="C52" s="119">
        <v>2</v>
      </c>
      <c r="D52" s="46"/>
      <c r="E52" s="143" t="s">
        <v>182</v>
      </c>
      <c r="F52" s="143" t="s">
        <v>167</v>
      </c>
      <c r="G52" s="143" t="s">
        <v>183</v>
      </c>
      <c r="H52" s="143" t="s">
        <v>184</v>
      </c>
      <c r="I52" s="143" t="s">
        <v>185</v>
      </c>
      <c r="J52" s="143" t="s">
        <v>186</v>
      </c>
    </row>
    <row r="53" spans="2:10">
      <c r="B53" s="5" t="s">
        <v>178</v>
      </c>
      <c r="C53" s="104">
        <f>SUM(E53:J53)</f>
        <v>12</v>
      </c>
      <c r="D53" s="122"/>
      <c r="E53" s="112">
        <v>4</v>
      </c>
      <c r="F53" s="112">
        <v>3</v>
      </c>
      <c r="G53" s="112">
        <v>2</v>
      </c>
      <c r="H53" s="112">
        <v>3</v>
      </c>
      <c r="I53" s="112">
        <v>0</v>
      </c>
      <c r="J53" s="112">
        <v>0</v>
      </c>
    </row>
    <row r="54" spans="2:10">
      <c r="B54" s="5" t="s">
        <v>179</v>
      </c>
      <c r="C54" s="181">
        <f>C51*C52*C53</f>
        <v>960</v>
      </c>
      <c r="D54"/>
    </row>
    <row r="55" spans="2:10">
      <c r="B55" s="5" t="s">
        <v>180</v>
      </c>
      <c r="C55" s="182">
        <f>C54*2</f>
        <v>1920</v>
      </c>
      <c r="D55"/>
    </row>
    <row r="56" spans="2:10">
      <c r="C56" s="118"/>
      <c r="D56"/>
    </row>
    <row r="57" spans="2:10">
      <c r="C57" s="118" t="s">
        <v>133</v>
      </c>
      <c r="D57"/>
    </row>
    <row r="58" spans="2:10">
      <c r="B58" s="5" t="s">
        <v>158</v>
      </c>
      <c r="C58" s="119"/>
      <c r="D58"/>
    </row>
    <row r="59" spans="2:10">
      <c r="B59" s="5" t="s">
        <v>37</v>
      </c>
      <c r="C59" s="104">
        <f>D3</f>
        <v>540</v>
      </c>
      <c r="D59"/>
    </row>
    <row r="60" spans="2:10">
      <c r="B60" s="5" t="s">
        <v>174</v>
      </c>
      <c r="C60" s="119">
        <v>15</v>
      </c>
      <c r="D60"/>
    </row>
    <row r="61" spans="2:10">
      <c r="B61" s="5" t="s">
        <v>181</v>
      </c>
      <c r="C61" s="181">
        <f>C59*C60</f>
        <v>8100</v>
      </c>
      <c r="D61"/>
    </row>
    <row r="63" spans="2:10" ht="17.399999999999999">
      <c r="B63" s="132" t="s">
        <v>108</v>
      </c>
      <c r="C63" s="132" t="s">
        <v>109</v>
      </c>
      <c r="D63" s="132" t="s">
        <v>110</v>
      </c>
    </row>
    <row r="64" spans="2:10" ht="17.399999999999999">
      <c r="B64" s="132" t="s">
        <v>132</v>
      </c>
      <c r="C64" s="112" t="s">
        <v>112</v>
      </c>
      <c r="D64" s="132">
        <v>0</v>
      </c>
    </row>
    <row r="65" spans="2:4">
      <c r="B65" s="5" t="s">
        <v>111</v>
      </c>
      <c r="C65" s="112" t="s">
        <v>112</v>
      </c>
      <c r="D65" s="112">
        <v>40</v>
      </c>
    </row>
    <row r="66" spans="2:4">
      <c r="B66" s="5" t="s">
        <v>113</v>
      </c>
      <c r="C66" s="112" t="s">
        <v>114</v>
      </c>
      <c r="D66" s="112">
        <v>42</v>
      </c>
    </row>
    <row r="67" spans="2:4">
      <c r="B67" s="5" t="s">
        <v>115</v>
      </c>
      <c r="C67" s="112" t="s">
        <v>112</v>
      </c>
      <c r="D67" s="112">
        <v>46</v>
      </c>
    </row>
    <row r="68" spans="2:4">
      <c r="B68" s="5" t="s">
        <v>116</v>
      </c>
      <c r="C68" s="112" t="s">
        <v>112</v>
      </c>
      <c r="D68" s="112">
        <v>65</v>
      </c>
    </row>
    <row r="69" spans="2:4">
      <c r="B69" s="5" t="s">
        <v>117</v>
      </c>
      <c r="C69" s="112" t="s">
        <v>114</v>
      </c>
      <c r="D69" s="112">
        <v>72</v>
      </c>
    </row>
    <row r="70" spans="2:4">
      <c r="B70" s="5" t="s">
        <v>118</v>
      </c>
      <c r="C70" s="112" t="s">
        <v>112</v>
      </c>
      <c r="D70" s="112">
        <v>41</v>
      </c>
    </row>
    <row r="71" spans="2:4">
      <c r="B71" s="5" t="s">
        <v>119</v>
      </c>
      <c r="C71" s="112" t="s">
        <v>114</v>
      </c>
      <c r="D71" s="112">
        <v>5</v>
      </c>
    </row>
    <row r="72" spans="2:4">
      <c r="B72" s="5" t="s">
        <v>303</v>
      </c>
      <c r="C72" s="112" t="s">
        <v>114</v>
      </c>
      <c r="D72" s="112">
        <v>32</v>
      </c>
    </row>
    <row r="73" spans="2:4">
      <c r="B73" s="5" t="s">
        <v>121</v>
      </c>
      <c r="C73" s="112" t="s">
        <v>114</v>
      </c>
      <c r="D73" s="112">
        <v>74</v>
      </c>
    </row>
    <row r="74" spans="2:4">
      <c r="B74" s="5" t="s">
        <v>122</v>
      </c>
      <c r="C74" s="112" t="s">
        <v>114</v>
      </c>
      <c r="D74" s="112">
        <v>53</v>
      </c>
    </row>
    <row r="75" spans="2:4">
      <c r="B75" s="5" t="s">
        <v>123</v>
      </c>
      <c r="C75" s="112" t="s">
        <v>114</v>
      </c>
      <c r="D75" s="112">
        <v>93</v>
      </c>
    </row>
    <row r="76" spans="2:4">
      <c r="B76" s="5" t="s">
        <v>124</v>
      </c>
      <c r="C76" s="112" t="s">
        <v>112</v>
      </c>
      <c r="D76" s="112">
        <v>90</v>
      </c>
    </row>
    <row r="77" spans="2:4">
      <c r="B77" s="5" t="s">
        <v>125</v>
      </c>
      <c r="C77" s="112" t="s">
        <v>112</v>
      </c>
      <c r="D77" s="112">
        <v>67</v>
      </c>
    </row>
    <row r="78" spans="2:4">
      <c r="B78" s="5" t="s">
        <v>126</v>
      </c>
      <c r="C78" s="112" t="s">
        <v>112</v>
      </c>
      <c r="D78" s="112">
        <v>61</v>
      </c>
    </row>
    <row r="79" spans="2:4">
      <c r="B79" s="5" t="s">
        <v>127</v>
      </c>
      <c r="C79" s="112" t="s">
        <v>112</v>
      </c>
      <c r="D79" s="112">
        <v>112</v>
      </c>
    </row>
    <row r="80" spans="2:4">
      <c r="B80" s="5" t="s">
        <v>128</v>
      </c>
      <c r="C80" s="112" t="s">
        <v>112</v>
      </c>
      <c r="D80" s="112">
        <v>85</v>
      </c>
    </row>
    <row r="81" spans="2:4">
      <c r="B81" s="5" t="s">
        <v>129</v>
      </c>
      <c r="C81" s="112" t="s">
        <v>112</v>
      </c>
      <c r="D81" s="112">
        <v>70</v>
      </c>
    </row>
    <row r="82" spans="2:4">
      <c r="B82" s="5" t="s">
        <v>130</v>
      </c>
      <c r="C82" s="112" t="s">
        <v>112</v>
      </c>
      <c r="D82" s="112">
        <v>126</v>
      </c>
    </row>
    <row r="83" spans="2:4">
      <c r="B83" s="5" t="s">
        <v>131</v>
      </c>
      <c r="C83" s="112" t="s">
        <v>114</v>
      </c>
      <c r="D83" s="112">
        <v>117</v>
      </c>
    </row>
    <row r="84" spans="2:4">
      <c r="D84"/>
    </row>
    <row r="86" spans="2:4">
      <c r="B86" t="s">
        <v>133</v>
      </c>
    </row>
    <row r="87" spans="2:4">
      <c r="B87" t="s">
        <v>134</v>
      </c>
    </row>
    <row r="90" spans="2:4">
      <c r="B90" s="153" t="s">
        <v>2</v>
      </c>
    </row>
    <row r="91" spans="2:4">
      <c r="B91" s="153" t="s">
        <v>79</v>
      </c>
    </row>
    <row r="92" spans="2:4">
      <c r="B92" s="153" t="s">
        <v>80</v>
      </c>
    </row>
    <row r="93" spans="2:4">
      <c r="B93" s="153" t="s">
        <v>95</v>
      </c>
    </row>
    <row r="94" spans="2:4">
      <c r="B94" s="153" t="s">
        <v>22</v>
      </c>
    </row>
    <row r="95" spans="2:4">
      <c r="B95" s="153" t="s">
        <v>23</v>
      </c>
    </row>
    <row r="96" spans="2:4">
      <c r="B96" s="153" t="s">
        <v>105</v>
      </c>
    </row>
    <row r="97" spans="2:2">
      <c r="B97" s="153" t="s">
        <v>104</v>
      </c>
    </row>
    <row r="98" spans="2:2">
      <c r="B98" s="183"/>
    </row>
    <row r="99" spans="2:2">
      <c r="B99" s="218" t="s">
        <v>301</v>
      </c>
    </row>
    <row r="100" spans="2:2">
      <c r="B100" s="218" t="s">
        <v>302</v>
      </c>
    </row>
  </sheetData>
  <dataValidations count="4">
    <dataValidation type="list" allowBlank="1" showInputMessage="1" showErrorMessage="1" sqref="C10">
      <formula1>$B$64:$B$84</formula1>
    </dataValidation>
    <dataValidation type="list" allowBlank="1" showInputMessage="1" showErrorMessage="1" sqref="C11:C14 C17:C21">
      <formula1>$B$86:$B$87</formula1>
    </dataValidation>
    <dataValidation type="list" allowBlank="1" showInputMessage="1" showErrorMessage="1" sqref="C15">
      <formula1>$B$90:$B$97</formula1>
    </dataValidation>
    <dataValidation type="list" allowBlank="1" showInputMessage="1" showErrorMessage="1" sqref="C16">
      <formula1>$B$99:$B$100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B3:F84"/>
  <sheetViews>
    <sheetView showGridLines="0" topLeftCell="A4" workbookViewId="0">
      <selection activeCell="E57" sqref="E57"/>
    </sheetView>
  </sheetViews>
  <sheetFormatPr defaultRowHeight="14.4"/>
  <cols>
    <col min="2" max="2" width="17.6640625" bestFit="1" customWidth="1"/>
    <col min="3" max="3" width="20.6640625" customWidth="1"/>
    <col min="6" max="6" width="11.6640625" bestFit="1" customWidth="1"/>
  </cols>
  <sheetData>
    <row r="3" spans="2:5">
      <c r="B3" s="233" t="s">
        <v>160</v>
      </c>
      <c r="C3" s="233"/>
      <c r="D3" s="233"/>
      <c r="E3" s="233"/>
    </row>
    <row r="4" spans="2:5" s="4" customFormat="1" ht="33" customHeight="1">
      <c r="B4" s="190" t="s">
        <v>150</v>
      </c>
      <c r="C4" s="191"/>
      <c r="D4" s="191" t="s">
        <v>154</v>
      </c>
      <c r="E4" s="192"/>
    </row>
    <row r="5" spans="2:5">
      <c r="B5" s="195">
        <f>ENTRADA!D4+1</f>
        <v>10</v>
      </c>
      <c r="C5" s="196" t="s">
        <v>21</v>
      </c>
      <c r="D5" s="196">
        <f>ENTRADA!D5+1</f>
        <v>61</v>
      </c>
      <c r="E5" s="197"/>
    </row>
    <row r="8" spans="2:5">
      <c r="B8" s="234" t="s">
        <v>160</v>
      </c>
      <c r="C8" s="235"/>
    </row>
    <row r="9" spans="2:5">
      <c r="B9" s="5" t="s">
        <v>187</v>
      </c>
      <c r="C9" s="185">
        <f>B5/10</f>
        <v>1</v>
      </c>
    </row>
    <row r="10" spans="2:5">
      <c r="B10" s="5" t="s">
        <v>188</v>
      </c>
      <c r="C10" s="5">
        <f>B5/2</f>
        <v>5</v>
      </c>
    </row>
    <row r="11" spans="2:5">
      <c r="B11" s="5" t="s">
        <v>189</v>
      </c>
      <c r="C11" s="5">
        <f>SQRT((C9^2)+(C10^2))</f>
        <v>5.0990195135927845</v>
      </c>
    </row>
    <row r="13" spans="2:5" ht="15" thickBot="1">
      <c r="B13" s="236" t="s">
        <v>164</v>
      </c>
      <c r="C13" s="237"/>
    </row>
    <row r="14" spans="2:5">
      <c r="B14" s="95" t="s">
        <v>140</v>
      </c>
      <c r="C14" s="136">
        <f>(B5+C11+C11)</f>
        <v>20.198039027185569</v>
      </c>
    </row>
    <row r="15" spans="2:5">
      <c r="B15" s="101" t="s">
        <v>190</v>
      </c>
      <c r="C15" s="137">
        <f>C14/6</f>
        <v>3.3663398378642615</v>
      </c>
    </row>
    <row r="16" spans="2:5">
      <c r="B16" s="199" t="s">
        <v>191</v>
      </c>
      <c r="C16" s="137">
        <f>CEILING(C15,1)</f>
        <v>4</v>
      </c>
    </row>
    <row r="17" spans="2:4">
      <c r="B17" s="199" t="s">
        <v>192</v>
      </c>
      <c r="C17" s="194" t="s">
        <v>3</v>
      </c>
    </row>
    <row r="18" spans="2:4" ht="15" thickBot="1">
      <c r="B18" s="200" t="s">
        <v>193</v>
      </c>
      <c r="C18" s="138">
        <f>VLOOKUP(C17,'BANCO DE DADOS'!B5:F34,3,0)</f>
        <v>106.2</v>
      </c>
    </row>
    <row r="19" spans="2:4">
      <c r="B19" s="201" t="s">
        <v>194</v>
      </c>
      <c r="C19" s="136">
        <f>C16+1</f>
        <v>5</v>
      </c>
    </row>
    <row r="20" spans="2:4">
      <c r="B20" s="202" t="s">
        <v>192</v>
      </c>
      <c r="C20" s="194" t="s">
        <v>6</v>
      </c>
    </row>
    <row r="21" spans="2:4" ht="15" thickBot="1">
      <c r="B21" s="203" t="s">
        <v>195</v>
      </c>
      <c r="C21" s="138">
        <f>VLOOKUP(C20,'BANCO DE DADOS'!B10:D22,3,0)</f>
        <v>85.9</v>
      </c>
    </row>
    <row r="22" spans="2:4">
      <c r="B22" s="122"/>
      <c r="C22" s="122"/>
    </row>
    <row r="23" spans="2:4" ht="13.5" customHeight="1">
      <c r="B23" s="5" t="s">
        <v>197</v>
      </c>
      <c r="C23" s="135">
        <f>(C16*C18)+(C19*C21)</f>
        <v>854.3</v>
      </c>
    </row>
    <row r="24" spans="2:4">
      <c r="B24" s="5" t="s">
        <v>198</v>
      </c>
      <c r="C24" s="5">
        <f>ROUNDDOWN((D5/5)+1,0)</f>
        <v>13</v>
      </c>
    </row>
    <row r="25" spans="2:4">
      <c r="B25" s="5" t="s">
        <v>16</v>
      </c>
      <c r="C25" s="198">
        <f>C23*C24</f>
        <v>11105.9</v>
      </c>
      <c r="D25" t="s">
        <v>21</v>
      </c>
    </row>
    <row r="26" spans="2:4">
      <c r="B26" s="234" t="s">
        <v>196</v>
      </c>
      <c r="C26" s="235"/>
    </row>
    <row r="27" spans="2:4">
      <c r="B27" s="5" t="s">
        <v>199</v>
      </c>
      <c r="C27" s="5" t="s">
        <v>45</v>
      </c>
    </row>
    <row r="28" spans="2:4">
      <c r="B28" s="184" t="str">
        <f>ENTRADA!C15</f>
        <v>TELHA SIMPLES</v>
      </c>
      <c r="C28" s="135">
        <f>VLOOKUP(B28,'BANCO DE DADOS'!B5:D9,3,0)</f>
        <v>36.9</v>
      </c>
    </row>
    <row r="29" spans="2:4">
      <c r="B29" s="5"/>
      <c r="C29" s="5"/>
    </row>
    <row r="30" spans="2:4">
      <c r="B30" s="5" t="s">
        <v>200</v>
      </c>
      <c r="C30" s="42">
        <f>ROUNDUP((C11*D5)*2,1)</f>
        <v>622.1</v>
      </c>
    </row>
    <row r="31" spans="2:4">
      <c r="B31" s="5" t="s">
        <v>201</v>
      </c>
      <c r="C31" s="198">
        <f>C28*C30</f>
        <v>22955.49</v>
      </c>
    </row>
    <row r="33" spans="2:3">
      <c r="B33" s="234" t="s">
        <v>165</v>
      </c>
      <c r="C33" s="235"/>
    </row>
    <row r="34" spans="2:3">
      <c r="B34" s="5" t="s">
        <v>202</v>
      </c>
      <c r="C34" s="204">
        <f>'BANCO DE DADOS'!F28</f>
        <v>20.52</v>
      </c>
    </row>
    <row r="35" spans="2:3">
      <c r="B35" s="5" t="s">
        <v>200</v>
      </c>
      <c r="C35" s="5">
        <f>D5</f>
        <v>61</v>
      </c>
    </row>
    <row r="36" spans="2:3">
      <c r="B36" s="5" t="s">
        <v>203</v>
      </c>
      <c r="C36" s="5">
        <f>C11/1.2</f>
        <v>4.2491829279939877</v>
      </c>
    </row>
    <row r="37" spans="2:3">
      <c r="B37" s="5" t="s">
        <v>204</v>
      </c>
      <c r="C37" s="5">
        <f>ROUNDUP((C36*2),0)</f>
        <v>9</v>
      </c>
    </row>
    <row r="38" spans="2:3">
      <c r="B38" s="5" t="s">
        <v>205</v>
      </c>
      <c r="C38" s="5">
        <f>C35*C37</f>
        <v>549</v>
      </c>
    </row>
    <row r="39" spans="2:3">
      <c r="B39" s="5" t="s">
        <v>206</v>
      </c>
      <c r="C39" s="5">
        <f>C38/6</f>
        <v>91.5</v>
      </c>
    </row>
    <row r="40" spans="2:3">
      <c r="B40" s="5" t="s">
        <v>207</v>
      </c>
      <c r="C40" s="198">
        <f>C38*C34</f>
        <v>11265.48</v>
      </c>
    </row>
    <row r="42" spans="2:3">
      <c r="B42" s="234" t="s">
        <v>166</v>
      </c>
      <c r="C42" s="235"/>
    </row>
    <row r="43" spans="2:3">
      <c r="B43" s="5" t="s">
        <v>208</v>
      </c>
      <c r="C43" s="5">
        <f>C9*C10</f>
        <v>5</v>
      </c>
    </row>
    <row r="44" spans="2:3">
      <c r="B44" s="5" t="s">
        <v>209</v>
      </c>
      <c r="C44" s="135">
        <v>80</v>
      </c>
    </row>
    <row r="45" spans="2:3">
      <c r="B45" s="5" t="s">
        <v>210</v>
      </c>
      <c r="C45" s="135">
        <f>C43*C44</f>
        <v>400</v>
      </c>
    </row>
    <row r="46" spans="2:3">
      <c r="B46" s="5" t="s">
        <v>211</v>
      </c>
      <c r="C46" s="5">
        <v>2</v>
      </c>
    </row>
    <row r="47" spans="2:3">
      <c r="B47" s="5" t="s">
        <v>212</v>
      </c>
      <c r="C47" s="128">
        <f>C45*C46</f>
        <v>800</v>
      </c>
    </row>
    <row r="49" spans="2:6">
      <c r="B49" s="234" t="s">
        <v>84</v>
      </c>
      <c r="C49" s="235"/>
    </row>
    <row r="50" spans="2:6">
      <c r="B50" s="5" t="s">
        <v>200</v>
      </c>
      <c r="C50" s="5">
        <f>D5</f>
        <v>61</v>
      </c>
      <c r="F50" s="8"/>
    </row>
    <row r="51" spans="2:6">
      <c r="B51" s="5" t="s">
        <v>201</v>
      </c>
      <c r="C51" s="135">
        <f>'BANCO DE DADOS'!F34</f>
        <v>37.51</v>
      </c>
      <c r="F51" s="8"/>
    </row>
    <row r="52" spans="2:6">
      <c r="B52" s="5" t="s">
        <v>213</v>
      </c>
      <c r="C52" s="128">
        <f>C50*C51</f>
        <v>2288.1099999999997</v>
      </c>
      <c r="F52" s="8"/>
    </row>
    <row r="56" spans="2:6">
      <c r="B56" s="153" t="s">
        <v>3</v>
      </c>
    </row>
    <row r="57" spans="2:6">
      <c r="B57" s="153" t="s">
        <v>4</v>
      </c>
    </row>
    <row r="58" spans="2:6">
      <c r="B58" s="153" t="s">
        <v>5</v>
      </c>
    </row>
    <row r="59" spans="2:6">
      <c r="B59" s="153" t="s">
        <v>96</v>
      </c>
    </row>
    <row r="60" spans="2:6">
      <c r="B60" s="153" t="s">
        <v>6</v>
      </c>
    </row>
    <row r="61" spans="2:6">
      <c r="B61" s="153" t="s">
        <v>7</v>
      </c>
    </row>
    <row r="62" spans="2:6">
      <c r="B62" s="153" t="s">
        <v>98</v>
      </c>
    </row>
    <row r="63" spans="2:6">
      <c r="B63" s="153" t="s">
        <v>143</v>
      </c>
    </row>
    <row r="64" spans="2:6">
      <c r="B64" s="153" t="s">
        <v>142</v>
      </c>
    </row>
    <row r="65" spans="2:2">
      <c r="B65" s="153" t="s">
        <v>141</v>
      </c>
    </row>
    <row r="66" spans="2:2">
      <c r="B66" s="153" t="s">
        <v>8</v>
      </c>
    </row>
    <row r="67" spans="2:2">
      <c r="B67" s="153" t="s">
        <v>10</v>
      </c>
    </row>
    <row r="68" spans="2:2">
      <c r="B68" s="153" t="s">
        <v>11</v>
      </c>
    </row>
    <row r="69" spans="2:2">
      <c r="B69" s="153" t="s">
        <v>74</v>
      </c>
    </row>
    <row r="70" spans="2:2">
      <c r="B70" s="153" t="s">
        <v>101</v>
      </c>
    </row>
    <row r="71" spans="2:2">
      <c r="B71" s="153" t="s">
        <v>102</v>
      </c>
    </row>
    <row r="72" spans="2:2">
      <c r="B72" s="153" t="s">
        <v>103</v>
      </c>
    </row>
    <row r="73" spans="2:2">
      <c r="B73" s="153" t="s">
        <v>12</v>
      </c>
    </row>
    <row r="74" spans="2:2">
      <c r="B74" s="153" t="s">
        <v>13</v>
      </c>
    </row>
    <row r="75" spans="2:2">
      <c r="B75" s="183"/>
    </row>
    <row r="76" spans="2:2">
      <c r="B76" s="183"/>
    </row>
    <row r="77" spans="2:2">
      <c r="B77" s="183"/>
    </row>
    <row r="78" spans="2:2">
      <c r="B78" s="183"/>
    </row>
    <row r="79" spans="2:2">
      <c r="B79" s="183"/>
    </row>
    <row r="80" spans="2:2">
      <c r="B80" s="183"/>
    </row>
    <row r="81" spans="2:2">
      <c r="B81" s="183"/>
    </row>
    <row r="82" spans="2:2">
      <c r="B82" s="183"/>
    </row>
    <row r="83" spans="2:2">
      <c r="B83" s="183"/>
    </row>
    <row r="84" spans="2:2">
      <c r="B84" s="193"/>
    </row>
  </sheetData>
  <mergeCells count="7">
    <mergeCell ref="B3:E3"/>
    <mergeCell ref="B42:C42"/>
    <mergeCell ref="B49:C49"/>
    <mergeCell ref="B33:C33"/>
    <mergeCell ref="B13:C13"/>
    <mergeCell ref="B8:C8"/>
    <mergeCell ref="B26:C26"/>
  </mergeCells>
  <dataValidations count="1">
    <dataValidation type="list" allowBlank="1" showInputMessage="1" showErrorMessage="1" errorTitle="seu burro" error="selecione da lista&#10;" promptTitle="selecione o elemento" sqref="C17 B28 C20">
      <formula1>$B$56:$B$80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B2:AK44"/>
  <sheetViews>
    <sheetView showGridLines="0" workbookViewId="0">
      <selection activeCell="C12" sqref="C12"/>
    </sheetView>
  </sheetViews>
  <sheetFormatPr defaultRowHeight="14.4"/>
  <cols>
    <col min="2" max="2" width="15.33203125" bestFit="1" customWidth="1"/>
    <col min="3" max="3" width="11.6640625" bestFit="1" customWidth="1"/>
    <col min="4" max="4" width="11.88671875" bestFit="1" customWidth="1"/>
    <col min="5" max="5" width="10" bestFit="1" customWidth="1"/>
    <col min="6" max="6" width="13.109375" bestFit="1" customWidth="1"/>
    <col min="8" max="8" width="10.33203125" customWidth="1"/>
    <col min="10" max="10" width="10.6640625" bestFit="1" customWidth="1"/>
    <col min="12" max="12" width="11.88671875" bestFit="1" customWidth="1"/>
    <col min="13" max="13" width="13.109375" bestFit="1" customWidth="1"/>
    <col min="14" max="14" width="13.88671875" customWidth="1"/>
    <col min="16" max="16" width="11.21875" customWidth="1"/>
    <col min="17" max="17" width="10.44140625" customWidth="1"/>
    <col min="18" max="18" width="12.44140625" customWidth="1"/>
    <col min="21" max="21" width="10.6640625" bestFit="1" customWidth="1"/>
    <col min="23" max="23" width="12.109375" customWidth="1"/>
    <col min="25" max="26" width="12.5546875" customWidth="1"/>
    <col min="27" max="27" width="9.6640625" customWidth="1"/>
    <col min="30" max="30" width="10.6640625" bestFit="1" customWidth="1"/>
    <col min="32" max="32" width="8.88671875" customWidth="1"/>
    <col min="34" max="35" width="7.88671875" customWidth="1"/>
    <col min="36" max="36" width="11.44140625" customWidth="1"/>
  </cols>
  <sheetData>
    <row r="2" spans="2:37">
      <c r="B2" s="242" t="s">
        <v>40</v>
      </c>
      <c r="C2" s="242"/>
      <c r="D2" s="242"/>
      <c r="E2" s="242"/>
      <c r="F2" s="242"/>
      <c r="G2" s="242"/>
      <c r="H2" s="242"/>
      <c r="I2" s="242"/>
      <c r="J2" s="242"/>
      <c r="K2" s="242"/>
    </row>
    <row r="3" spans="2:37">
      <c r="B3" s="242"/>
      <c r="C3" s="242"/>
      <c r="D3" s="242"/>
      <c r="E3" s="242"/>
      <c r="F3" s="242"/>
      <c r="G3" s="242"/>
      <c r="H3" s="242"/>
      <c r="I3" s="242"/>
      <c r="J3" s="242"/>
      <c r="K3" s="242"/>
    </row>
    <row r="4" spans="2:37" ht="33.6">
      <c r="B4" s="19"/>
      <c r="C4" s="19"/>
      <c r="D4" s="19"/>
      <c r="E4" s="19"/>
      <c r="F4" s="19"/>
      <c r="G4" s="19"/>
      <c r="H4" s="18"/>
      <c r="I4" s="18"/>
      <c r="J4" s="18"/>
      <c r="K4" s="18"/>
    </row>
    <row r="5" spans="2:37" ht="27" customHeight="1">
      <c r="B5" s="205" t="s">
        <v>24</v>
      </c>
      <c r="C5" s="205" t="s">
        <v>37</v>
      </c>
      <c r="D5" s="20"/>
      <c r="E5" s="241" t="s">
        <v>232</v>
      </c>
      <c r="F5" s="241"/>
      <c r="G5" s="241"/>
      <c r="H5" s="241"/>
      <c r="I5" s="241"/>
      <c r="J5" s="241"/>
      <c r="L5" s="241" t="s">
        <v>237</v>
      </c>
      <c r="M5" s="241"/>
      <c r="N5" s="241"/>
      <c r="O5" s="241"/>
      <c r="P5" s="241"/>
      <c r="Q5" s="241"/>
      <c r="R5" s="241"/>
      <c r="S5" s="241"/>
      <c r="T5" s="241"/>
      <c r="U5" s="241"/>
      <c r="W5" s="241" t="s">
        <v>244</v>
      </c>
      <c r="X5" s="241"/>
      <c r="Y5" s="241"/>
      <c r="Z5" s="241"/>
      <c r="AA5" s="241"/>
      <c r="AB5" s="241"/>
      <c r="AC5" s="238"/>
      <c r="AD5" s="206"/>
      <c r="AF5" s="238" t="s">
        <v>251</v>
      </c>
      <c r="AG5" s="239"/>
      <c r="AH5" s="239"/>
      <c r="AI5" s="239"/>
      <c r="AJ5" s="239"/>
      <c r="AK5" s="240"/>
    </row>
    <row r="6" spans="2:37" ht="41.4" customHeight="1">
      <c r="B6" s="25" t="s">
        <v>38</v>
      </c>
      <c r="C6" s="26">
        <f>0.26*0.3</f>
        <v>7.8E-2</v>
      </c>
      <c r="D6" s="20"/>
      <c r="E6" s="143" t="s">
        <v>233</v>
      </c>
      <c r="F6" s="143" t="s">
        <v>234</v>
      </c>
      <c r="G6" s="143" t="s">
        <v>235</v>
      </c>
      <c r="H6" s="10" t="s">
        <v>226</v>
      </c>
      <c r="I6" s="3" t="s">
        <v>215</v>
      </c>
      <c r="J6" s="143" t="s">
        <v>236</v>
      </c>
      <c r="L6" s="3" t="s">
        <v>238</v>
      </c>
      <c r="M6" s="143" t="s">
        <v>234</v>
      </c>
      <c r="N6" s="3" t="s">
        <v>239</v>
      </c>
      <c r="O6" s="12" t="s">
        <v>36</v>
      </c>
      <c r="P6" s="12" t="s">
        <v>240</v>
      </c>
      <c r="Q6" s="23" t="s">
        <v>241</v>
      </c>
      <c r="R6" s="23" t="s">
        <v>242</v>
      </c>
      <c r="S6" s="12" t="s">
        <v>243</v>
      </c>
      <c r="T6" s="3" t="s">
        <v>215</v>
      </c>
      <c r="U6" s="143" t="s">
        <v>236</v>
      </c>
      <c r="W6" s="3" t="s">
        <v>245</v>
      </c>
      <c r="X6" s="3" t="s">
        <v>246</v>
      </c>
      <c r="Y6" s="3" t="s">
        <v>247</v>
      </c>
      <c r="Z6" s="12" t="s">
        <v>248</v>
      </c>
      <c r="AA6" s="12" t="s">
        <v>249</v>
      </c>
      <c r="AB6" s="3" t="s">
        <v>250</v>
      </c>
      <c r="AC6" s="3" t="s">
        <v>215</v>
      </c>
      <c r="AD6" s="14" t="s">
        <v>213</v>
      </c>
      <c r="AF6" s="3" t="s">
        <v>252</v>
      </c>
      <c r="AG6" s="3" t="s">
        <v>253</v>
      </c>
      <c r="AH6" s="3" t="s">
        <v>202</v>
      </c>
      <c r="AI6" s="3" t="s">
        <v>254</v>
      </c>
      <c r="AJ6" s="3" t="s">
        <v>255</v>
      </c>
      <c r="AK6" s="12" t="s">
        <v>16</v>
      </c>
    </row>
    <row r="7" spans="2:37" ht="19.5" customHeight="1">
      <c r="B7" s="25" t="s">
        <v>39</v>
      </c>
      <c r="C7" s="26">
        <f>0.25*0.4</f>
        <v>0.1</v>
      </c>
      <c r="D7" s="20"/>
      <c r="E7" s="22">
        <f>$C$10</f>
        <v>7.8E-2</v>
      </c>
      <c r="F7" s="2">
        <f>C12</f>
        <v>6</v>
      </c>
      <c r="G7" s="2">
        <f>F7*E7</f>
        <v>0.46799999999999997</v>
      </c>
      <c r="H7" s="10">
        <f>G7*'BANCO DE DADOS'!$V$13</f>
        <v>199.37080800000001</v>
      </c>
      <c r="I7" s="2">
        <f>C11</f>
        <v>26</v>
      </c>
      <c r="J7" s="9">
        <f>I7*H7</f>
        <v>5183.6410080000005</v>
      </c>
      <c r="L7" s="2">
        <v>2</v>
      </c>
      <c r="M7" s="2">
        <f>C12</f>
        <v>6</v>
      </c>
      <c r="N7" s="2">
        <f>M7*L7</f>
        <v>12</v>
      </c>
      <c r="O7" s="24">
        <v>10</v>
      </c>
      <c r="P7" s="5">
        <f>IF(M7&lt;=6,6,12)</f>
        <v>6</v>
      </c>
      <c r="Q7" s="5">
        <f>VLOOKUP(O7,'BANCO DE DADOS'!$I$5:$J$14,2,'BANCO DE DADOS'!$J$5:$J$14)</f>
        <v>61.76</v>
      </c>
      <c r="R7" s="5">
        <f>IF(P7&gt;6,Q7,(Q7/2))</f>
        <v>30.88</v>
      </c>
      <c r="S7" s="10">
        <f>R7*L7</f>
        <v>61.76</v>
      </c>
      <c r="T7" s="2">
        <f>C11</f>
        <v>26</v>
      </c>
      <c r="U7" s="9">
        <f>T7*S7</f>
        <v>1605.76</v>
      </c>
      <c r="W7" s="2">
        <f>C12</f>
        <v>6</v>
      </c>
      <c r="X7" s="15">
        <f>(W7/0.15)+1</f>
        <v>41</v>
      </c>
      <c r="Y7" s="2">
        <v>1.3</v>
      </c>
      <c r="Z7" s="2">
        <f>Y7*X7</f>
        <v>53.300000000000004</v>
      </c>
      <c r="AA7" s="10">
        <f>'BANCO DE DADOS'!$M$5</f>
        <v>1.325</v>
      </c>
      <c r="AB7" s="10">
        <f>AA7*Z7</f>
        <v>70.622500000000002</v>
      </c>
      <c r="AC7" s="2">
        <f>C11</f>
        <v>26</v>
      </c>
      <c r="AD7" s="9">
        <f>AC7*AB7</f>
        <v>1836.1849999999999</v>
      </c>
      <c r="AF7" s="5">
        <f>C11*2</f>
        <v>52</v>
      </c>
      <c r="AG7" s="2">
        <v>10</v>
      </c>
      <c r="AH7" s="24">
        <f>VLOOKUP(AG7,'BANCO DE DADOS'!I5:M14,5,'BANCO DE DADOS'!M5:M14)</f>
        <v>5.1466666666666665</v>
      </c>
      <c r="AI7" s="15">
        <v>1</v>
      </c>
      <c r="AJ7" s="2">
        <f>AF7*AI7</f>
        <v>52</v>
      </c>
      <c r="AK7" s="10">
        <f>AJ7*AH7</f>
        <v>267.62666666666667</v>
      </c>
    </row>
    <row r="8" spans="2:37" ht="15" customHeight="1">
      <c r="B8" s="25" t="s">
        <v>44</v>
      </c>
      <c r="C8" s="25">
        <f>0.17*0.27</f>
        <v>4.5900000000000003E-2</v>
      </c>
      <c r="D8" s="20"/>
      <c r="L8" s="2">
        <v>4</v>
      </c>
      <c r="M8" s="2">
        <f>C12</f>
        <v>6</v>
      </c>
      <c r="N8" s="2">
        <f t="shared" ref="N8" si="0">M8*L8</f>
        <v>24</v>
      </c>
      <c r="O8" s="24">
        <v>12.5</v>
      </c>
      <c r="P8" s="5">
        <f t="shared" ref="P8" si="1">IF(M8&lt;=6,6,12)</f>
        <v>6</v>
      </c>
      <c r="Q8" s="5">
        <f>VLOOKUP(O8,'BANCO DE DADOS'!$I$5:$J$14,2,'BANCO DE DADOS'!$J$5:$J$14)</f>
        <v>94.07</v>
      </c>
      <c r="R8" s="5">
        <f t="shared" ref="R8" si="2">IF(P8&gt;6,Q8,(Q8/2))</f>
        <v>47.034999999999997</v>
      </c>
      <c r="S8" s="10">
        <f t="shared" ref="S8" si="3">R8*L8</f>
        <v>188.14</v>
      </c>
      <c r="T8" s="2">
        <f>C11</f>
        <v>26</v>
      </c>
      <c r="U8" s="9">
        <f t="shared" ref="U8" si="4">T8*S8</f>
        <v>4891.6399999999994</v>
      </c>
      <c r="W8" s="1"/>
      <c r="X8" s="17"/>
      <c r="Y8" s="1"/>
      <c r="Z8" s="1"/>
      <c r="AA8" s="11"/>
      <c r="AB8" s="11"/>
      <c r="AC8" s="1"/>
      <c r="AD8" s="8"/>
    </row>
    <row r="9" spans="2:37" ht="15" thickBot="1">
      <c r="B9" s="27"/>
      <c r="C9" s="27"/>
      <c r="D9" s="21"/>
      <c r="L9" s="1"/>
      <c r="M9" s="1"/>
      <c r="N9" s="1"/>
      <c r="O9" s="7"/>
      <c r="S9" s="11"/>
      <c r="T9" s="1"/>
      <c r="U9" s="8"/>
      <c r="W9" s="1"/>
      <c r="X9" s="17"/>
      <c r="Y9" s="1"/>
      <c r="Z9" s="1"/>
      <c r="AA9" s="11"/>
      <c r="AB9" s="11"/>
      <c r="AC9" s="1"/>
      <c r="AD9" s="8"/>
    </row>
    <row r="10" spans="2:37">
      <c r="B10" s="30" t="s">
        <v>214</v>
      </c>
      <c r="C10" s="207">
        <f>C6</f>
        <v>7.8E-2</v>
      </c>
      <c r="D10" s="21"/>
      <c r="E10" s="28"/>
      <c r="F10" s="1"/>
      <c r="G10" s="1"/>
      <c r="H10" s="11"/>
      <c r="I10" s="1"/>
      <c r="J10" s="8"/>
      <c r="W10" s="1"/>
      <c r="X10" s="17"/>
      <c r="Y10" s="1"/>
      <c r="Z10" s="1"/>
      <c r="AA10" s="11"/>
      <c r="AB10" s="11"/>
      <c r="AC10" s="1"/>
      <c r="AD10" s="8"/>
    </row>
    <row r="11" spans="2:37" ht="31.8" thickBot="1">
      <c r="B11" s="31" t="s">
        <v>215</v>
      </c>
      <c r="C11" s="50">
        <v>26</v>
      </c>
      <c r="D11" s="144" t="s">
        <v>228</v>
      </c>
      <c r="E11" s="51" t="s">
        <v>229</v>
      </c>
      <c r="F11" s="146" t="s">
        <v>230</v>
      </c>
      <c r="G11" s="146" t="s">
        <v>231</v>
      </c>
      <c r="H11" s="57" t="s">
        <v>136</v>
      </c>
      <c r="I11" s="1"/>
      <c r="J11" s="8"/>
    </row>
    <row r="12" spans="2:37" ht="15.6">
      <c r="B12" s="36" t="s">
        <v>187</v>
      </c>
      <c r="C12" s="208">
        <f>D12+E12+F12+G12+H12</f>
        <v>6</v>
      </c>
      <c r="D12" s="52">
        <f>ENTRADA!D6</f>
        <v>5</v>
      </c>
      <c r="E12" s="209">
        <v>1</v>
      </c>
      <c r="F12" s="196">
        <v>0</v>
      </c>
      <c r="G12" s="196"/>
      <c r="H12" s="210"/>
      <c r="I12" s="1"/>
      <c r="J12" s="8"/>
    </row>
    <row r="13" spans="2:37">
      <c r="B13" t="s">
        <v>216</v>
      </c>
      <c r="C13">
        <f>C11*C12</f>
        <v>156</v>
      </c>
      <c r="D13" s="1"/>
      <c r="E13" s="1"/>
      <c r="F13" s="1"/>
    </row>
    <row r="14" spans="2:37">
      <c r="B14" s="241" t="s">
        <v>217</v>
      </c>
      <c r="C14" s="241"/>
      <c r="O14" s="4"/>
    </row>
    <row r="15" spans="2:37">
      <c r="B15" s="5" t="s">
        <v>218</v>
      </c>
      <c r="C15" s="10">
        <f>SUM(J7:J9)</f>
        <v>5183.6410080000005</v>
      </c>
    </row>
    <row r="16" spans="2:37">
      <c r="B16" s="5" t="s">
        <v>219</v>
      </c>
      <c r="C16" s="10">
        <f>SUM(U7:U8)</f>
        <v>6497.4</v>
      </c>
    </row>
    <row r="17" spans="2:9">
      <c r="B17" s="5" t="s">
        <v>220</v>
      </c>
      <c r="C17" s="10">
        <f>SUM(AD7:AD7)</f>
        <v>1836.1849999999999</v>
      </c>
    </row>
    <row r="18" spans="2:9">
      <c r="B18" s="5" t="s">
        <v>221</v>
      </c>
      <c r="C18" s="10">
        <f>C11*('BANCO DE DADOS'!J14/2)</f>
        <v>351</v>
      </c>
      <c r="D18" s="1"/>
      <c r="E18" s="11"/>
    </row>
    <row r="19" spans="2:9">
      <c r="B19" s="5" t="s">
        <v>222</v>
      </c>
      <c r="C19" s="10">
        <f>AK7</f>
        <v>267.62666666666667</v>
      </c>
    </row>
    <row r="20" spans="2:9">
      <c r="B20" s="5" t="s">
        <v>223</v>
      </c>
      <c r="C20" s="10"/>
    </row>
    <row r="21" spans="2:9">
      <c r="B21" s="5" t="s">
        <v>224</v>
      </c>
      <c r="C21" s="10"/>
      <c r="I21" t="s">
        <v>21</v>
      </c>
    </row>
    <row r="22" spans="2:9">
      <c r="B22" s="5" t="s">
        <v>225</v>
      </c>
      <c r="C22" s="125">
        <f>SUM(C15:C20)</f>
        <v>14135.852674666667</v>
      </c>
    </row>
    <row r="23" spans="2:9">
      <c r="B23" s="5" t="s">
        <v>226</v>
      </c>
      <c r="C23" s="9">
        <f>C22/C11</f>
        <v>543.68664133333334</v>
      </c>
    </row>
    <row r="24" spans="2:9">
      <c r="B24" s="5" t="s">
        <v>227</v>
      </c>
      <c r="C24" s="9">
        <f>C22/C13</f>
        <v>90.614440222222228</v>
      </c>
    </row>
    <row r="25" spans="2:9">
      <c r="C25" s="1"/>
      <c r="D25" s="1"/>
      <c r="E25" s="11"/>
    </row>
    <row r="26" spans="2:9">
      <c r="I26" s="13"/>
    </row>
    <row r="31" spans="2:9">
      <c r="B31" s="1"/>
      <c r="C31" s="17"/>
      <c r="D31" s="1"/>
      <c r="E31" s="11"/>
      <c r="F31" s="11"/>
      <c r="G31" s="1"/>
      <c r="H31" s="8"/>
    </row>
    <row r="33" spans="3:13">
      <c r="F33" s="11"/>
      <c r="G33" s="1"/>
      <c r="H33" s="8"/>
    </row>
    <row r="34" spans="3:13">
      <c r="F34" s="11"/>
      <c r="G34" s="1"/>
      <c r="H34" s="8"/>
      <c r="M34" s="4"/>
    </row>
    <row r="35" spans="3:13">
      <c r="C35" s="1"/>
      <c r="D35" s="1"/>
      <c r="E35" s="11"/>
      <c r="K35" s="8"/>
      <c r="L35" s="6"/>
    </row>
    <row r="36" spans="3:13">
      <c r="D36" s="1"/>
      <c r="E36" s="11"/>
      <c r="L36" s="6"/>
    </row>
    <row r="37" spans="3:13">
      <c r="D37" s="1"/>
      <c r="E37" s="11"/>
      <c r="I37" s="4"/>
      <c r="K37" s="4"/>
      <c r="L37" s="6"/>
    </row>
    <row r="38" spans="3:13">
      <c r="D38" s="1"/>
      <c r="E38" s="11"/>
    </row>
    <row r="39" spans="3:13">
      <c r="D39" s="1"/>
      <c r="E39" s="11"/>
    </row>
    <row r="40" spans="3:13">
      <c r="D40" s="1"/>
      <c r="E40" s="11"/>
    </row>
    <row r="41" spans="3:13">
      <c r="D41" s="1"/>
      <c r="E41" s="11"/>
    </row>
    <row r="42" spans="3:13">
      <c r="D42" s="1"/>
      <c r="E42" s="11"/>
    </row>
    <row r="43" spans="3:13">
      <c r="D43" s="1"/>
      <c r="E43" s="11"/>
    </row>
    <row r="44" spans="3:13">
      <c r="C44" s="1"/>
      <c r="D44" s="1"/>
      <c r="E44" s="11"/>
    </row>
  </sheetData>
  <mergeCells count="6">
    <mergeCell ref="AF5:AK5"/>
    <mergeCell ref="B14:C14"/>
    <mergeCell ref="E5:J5"/>
    <mergeCell ref="W5:AC5"/>
    <mergeCell ref="B2:K3"/>
    <mergeCell ref="L5:U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B3:F12"/>
  <sheetViews>
    <sheetView workbookViewId="0">
      <selection activeCell="I32" sqref="I32"/>
    </sheetView>
  </sheetViews>
  <sheetFormatPr defaultRowHeight="14.4"/>
  <cols>
    <col min="2" max="2" width="18" customWidth="1"/>
    <col min="3" max="3" width="10.6640625" bestFit="1" customWidth="1"/>
    <col min="4" max="4" width="12.5546875" customWidth="1"/>
    <col min="5" max="5" width="10.109375" bestFit="1" customWidth="1"/>
    <col min="6" max="6" width="10.5546875" bestFit="1" customWidth="1"/>
  </cols>
  <sheetData>
    <row r="3" spans="2:6">
      <c r="B3" s="43"/>
      <c r="C3" s="146" t="s">
        <v>256</v>
      </c>
      <c r="D3" s="146" t="s">
        <v>234</v>
      </c>
      <c r="E3" s="146" t="s">
        <v>200</v>
      </c>
      <c r="F3" s="145" t="s">
        <v>210</v>
      </c>
    </row>
    <row r="4" spans="2:6">
      <c r="B4" s="13" t="s">
        <v>257</v>
      </c>
      <c r="C4" s="1">
        <f>(((0.08*1)*0.63)+(0.08*1*0.7))*2</f>
        <v>0.21279999999999999</v>
      </c>
      <c r="D4" s="1"/>
      <c r="E4" s="1"/>
      <c r="F4" s="58">
        <f>C4*'BANCO DE DADOS'!V13</f>
        <v>90.654076799999999</v>
      </c>
    </row>
    <row r="5" spans="2:6">
      <c r="B5" s="13" t="s">
        <v>21</v>
      </c>
      <c r="C5" s="1"/>
      <c r="D5" s="1"/>
      <c r="E5" s="1"/>
      <c r="F5" s="58"/>
    </row>
    <row r="6" spans="2:6">
      <c r="B6" s="13" t="s">
        <v>253</v>
      </c>
      <c r="C6" s="1">
        <v>4</v>
      </c>
      <c r="D6" s="1">
        <v>1</v>
      </c>
      <c r="E6" s="1">
        <f>C6*D6</f>
        <v>4</v>
      </c>
      <c r="F6" s="58">
        <f>E6*'BANCO DE DADOS'!M7</f>
        <v>13.536666666666667</v>
      </c>
    </row>
    <row r="7" spans="2:6">
      <c r="B7" s="13" t="s">
        <v>258</v>
      </c>
      <c r="C7" s="1">
        <v>8</v>
      </c>
      <c r="D7" s="1">
        <f>0.7+0.6+0.7+0.6</f>
        <v>2.5999999999999996</v>
      </c>
      <c r="E7" s="1">
        <f>C7*D7</f>
        <v>20.799999999999997</v>
      </c>
      <c r="F7" s="58">
        <f>E7*'BANCO DE DADOS'!M7</f>
        <v>70.390666666666661</v>
      </c>
    </row>
    <row r="8" spans="2:6">
      <c r="B8" s="13" t="s">
        <v>259</v>
      </c>
      <c r="C8" s="1">
        <f>0.7+0.6+0.7+0.6</f>
        <v>2.5999999999999996</v>
      </c>
      <c r="D8" s="1"/>
      <c r="E8" s="1"/>
      <c r="F8" s="58">
        <f>C8*'BANCO DE DADOS'!M12</f>
        <v>36.529999999999994</v>
      </c>
    </row>
    <row r="9" spans="2:6">
      <c r="B9" s="13"/>
      <c r="C9" s="11">
        <v>200</v>
      </c>
      <c r="D9" s="1"/>
      <c r="E9" s="1"/>
      <c r="F9" s="58">
        <f>F4+F6+F7+F8</f>
        <v>211.11141013333332</v>
      </c>
    </row>
    <row r="10" spans="2:6">
      <c r="B10" s="13" t="s">
        <v>260</v>
      </c>
      <c r="C10" s="1">
        <f>PILARES!C11</f>
        <v>26</v>
      </c>
      <c r="D10" s="1"/>
      <c r="E10" s="1"/>
      <c r="F10" s="58"/>
    </row>
    <row r="11" spans="2:6">
      <c r="B11" s="13" t="s">
        <v>210</v>
      </c>
      <c r="C11" s="126">
        <f>C9*C10</f>
        <v>5200</v>
      </c>
      <c r="D11" s="1"/>
      <c r="E11" s="1"/>
      <c r="F11" s="48"/>
    </row>
    <row r="12" spans="2:6">
      <c r="B12" s="34"/>
      <c r="C12" s="56"/>
      <c r="D12" s="56"/>
      <c r="E12" s="56"/>
      <c r="F12" s="5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B2:M34"/>
  <sheetViews>
    <sheetView showGridLines="0" workbookViewId="0">
      <selection activeCell="F14" sqref="F14:I14"/>
    </sheetView>
  </sheetViews>
  <sheetFormatPr defaultRowHeight="14.4"/>
  <cols>
    <col min="2" max="2" width="22.33203125" customWidth="1"/>
    <col min="3" max="3" width="11.88671875" bestFit="1" customWidth="1"/>
    <col min="6" max="6" width="21.109375" bestFit="1" customWidth="1"/>
    <col min="7" max="7" width="11.6640625" bestFit="1" customWidth="1"/>
    <col min="8" max="8" width="15.88671875" bestFit="1" customWidth="1"/>
    <col min="9" max="9" width="12.77734375" customWidth="1"/>
    <col min="11" max="11" width="10.6640625" bestFit="1" customWidth="1"/>
    <col min="12" max="12" width="10.88671875" bestFit="1" customWidth="1"/>
    <col min="13" max="13" width="10.6640625" bestFit="1" customWidth="1"/>
  </cols>
  <sheetData>
    <row r="2" spans="2:13">
      <c r="B2" s="241" t="s">
        <v>264</v>
      </c>
      <c r="C2" s="241"/>
      <c r="D2" s="241"/>
      <c r="F2" s="245" t="s">
        <v>169</v>
      </c>
      <c r="G2" s="246"/>
      <c r="H2" s="246"/>
      <c r="I2" s="246"/>
      <c r="J2" s="247"/>
    </row>
    <row r="3" spans="2:13">
      <c r="B3" s="5" t="s">
        <v>265</v>
      </c>
      <c r="C3" s="37">
        <f>ENTRADA!D4+ENTRADA!D5+ENTRADA!D4+ENTRADA!D5</f>
        <v>138</v>
      </c>
      <c r="D3" s="5" t="s">
        <v>48</v>
      </c>
      <c r="F3" s="47"/>
      <c r="G3" s="1"/>
      <c r="H3" s="1"/>
      <c r="I3" s="1"/>
      <c r="J3" s="33"/>
    </row>
    <row r="4" spans="2:13">
      <c r="B4" s="5" t="s">
        <v>187</v>
      </c>
      <c r="C4" s="37">
        <v>1</v>
      </c>
      <c r="D4" s="5" t="s">
        <v>48</v>
      </c>
      <c r="F4" s="47"/>
      <c r="G4" s="147" t="s">
        <v>201</v>
      </c>
      <c r="H4" s="147" t="s">
        <v>275</v>
      </c>
      <c r="I4" s="147" t="s">
        <v>212</v>
      </c>
      <c r="J4" s="48"/>
    </row>
    <row r="5" spans="2:13">
      <c r="B5" s="5" t="s">
        <v>266</v>
      </c>
      <c r="C5" s="5">
        <f>C3*C4</f>
        <v>138</v>
      </c>
      <c r="D5" s="5" t="s">
        <v>46</v>
      </c>
      <c r="F5" s="13" t="s">
        <v>218</v>
      </c>
      <c r="G5" s="11">
        <f>'BANCO DE DADOS'!V13</f>
        <v>426.00600000000003</v>
      </c>
      <c r="H5" s="1">
        <f>1*5*0.08</f>
        <v>0.4</v>
      </c>
      <c r="I5" s="11">
        <f>G5*H5</f>
        <v>170.40240000000003</v>
      </c>
      <c r="J5" s="48"/>
    </row>
    <row r="6" spans="2:13">
      <c r="B6" s="5" t="s">
        <v>267</v>
      </c>
      <c r="C6" s="5">
        <f>120/2</f>
        <v>60</v>
      </c>
      <c r="D6" s="5"/>
      <c r="F6" s="13" t="s">
        <v>259</v>
      </c>
      <c r="G6" s="11">
        <f>'BANCO DE DADOS'!M12</f>
        <v>14.05</v>
      </c>
      <c r="H6" s="1">
        <v>5</v>
      </c>
      <c r="I6" s="11">
        <f t="shared" ref="I6:I8" si="0">G6*H6</f>
        <v>70.25</v>
      </c>
      <c r="J6" s="48"/>
    </row>
    <row r="7" spans="2:13">
      <c r="B7" s="5" t="s">
        <v>268</v>
      </c>
      <c r="C7" s="5">
        <f>160/2</f>
        <v>80</v>
      </c>
      <c r="D7" s="5"/>
      <c r="F7" s="13" t="s">
        <v>222</v>
      </c>
      <c r="G7" s="11">
        <f>'BANCO DE DADOS'!M7</f>
        <v>3.3841666666666668</v>
      </c>
      <c r="H7" s="1">
        <v>2</v>
      </c>
      <c r="I7" s="11">
        <f t="shared" si="0"/>
        <v>6.7683333333333335</v>
      </c>
      <c r="J7" s="48"/>
    </row>
    <row r="8" spans="2:13">
      <c r="B8" s="5" t="s">
        <v>269</v>
      </c>
      <c r="C8" s="139">
        <f>C6*C5</f>
        <v>8280</v>
      </c>
      <c r="D8" s="5"/>
      <c r="F8" s="13" t="s">
        <v>276</v>
      </c>
      <c r="G8" s="11">
        <f>G7</f>
        <v>3.3841666666666668</v>
      </c>
      <c r="H8" s="1">
        <f>5*3</f>
        <v>15</v>
      </c>
      <c r="I8" s="11">
        <f t="shared" si="0"/>
        <v>50.762500000000003</v>
      </c>
      <c r="J8" s="48"/>
    </row>
    <row r="9" spans="2:13">
      <c r="B9" s="5" t="s">
        <v>270</v>
      </c>
      <c r="C9" s="5">
        <f>C8*2</f>
        <v>16560</v>
      </c>
      <c r="D9" s="5"/>
      <c r="F9" s="13" t="s">
        <v>277</v>
      </c>
      <c r="G9" s="11">
        <f>'BANCO DE DADOS'!M15</f>
        <v>0</v>
      </c>
      <c r="H9" s="1">
        <v>20</v>
      </c>
      <c r="I9" s="11">
        <f>G9*H9</f>
        <v>0</v>
      </c>
      <c r="J9" s="48"/>
    </row>
    <row r="10" spans="2:13">
      <c r="F10" s="13" t="s">
        <v>278</v>
      </c>
      <c r="G10" s="11"/>
      <c r="H10" s="1"/>
      <c r="I10" s="11">
        <f>SUM(I5:I9)</f>
        <v>298.18323333333336</v>
      </c>
      <c r="J10" s="48" t="s">
        <v>49</v>
      </c>
      <c r="K10" s="8"/>
    </row>
    <row r="11" spans="2:13">
      <c r="F11" s="13" t="s">
        <v>202</v>
      </c>
      <c r="G11" s="11">
        <v>60</v>
      </c>
      <c r="H11" s="1"/>
      <c r="I11" s="11">
        <f>I10/5</f>
        <v>59.636646666666671</v>
      </c>
      <c r="J11" s="48" t="s">
        <v>70</v>
      </c>
    </row>
    <row r="12" spans="2:13">
      <c r="F12" s="43"/>
      <c r="G12" s="219"/>
      <c r="H12" s="146" t="s">
        <v>305</v>
      </c>
      <c r="I12" s="219" t="s">
        <v>212</v>
      </c>
      <c r="J12" s="145" t="s">
        <v>306</v>
      </c>
    </row>
    <row r="13" spans="2:13">
      <c r="B13" s="238" t="s">
        <v>165</v>
      </c>
      <c r="C13" s="240"/>
      <c r="F13" s="34" t="s">
        <v>304</v>
      </c>
      <c r="G13" s="220">
        <v>11</v>
      </c>
      <c r="H13" s="196">
        <v>24</v>
      </c>
      <c r="I13" s="221">
        <f>J13*H13*G13</f>
        <v>5280</v>
      </c>
      <c r="J13" s="53">
        <v>20</v>
      </c>
      <c r="K13" s="8"/>
      <c r="L13" s="8"/>
    </row>
    <row r="14" spans="2:13">
      <c r="B14" s="5" t="s">
        <v>202</v>
      </c>
      <c r="C14" s="9">
        <f>'BANCO DE DADOS'!F23</f>
        <v>24.75</v>
      </c>
      <c r="F14" s="243" t="s">
        <v>50</v>
      </c>
      <c r="G14" s="244"/>
      <c r="H14" s="244"/>
      <c r="I14" s="244"/>
      <c r="J14" s="33"/>
      <c r="K14" s="8"/>
      <c r="L14" s="8" t="s">
        <v>307</v>
      </c>
      <c r="M14" s="8"/>
    </row>
    <row r="15" spans="2:13">
      <c r="B15" s="5" t="s">
        <v>200</v>
      </c>
      <c r="C15" s="5">
        <v>101</v>
      </c>
      <c r="F15" s="13" t="s">
        <v>140</v>
      </c>
      <c r="G15" s="211">
        <f>C3</f>
        <v>138</v>
      </c>
      <c r="H15" t="s">
        <v>48</v>
      </c>
      <c r="J15" s="33"/>
    </row>
    <row r="16" spans="2:13">
      <c r="B16" s="5" t="s">
        <v>271</v>
      </c>
      <c r="C16" s="5">
        <v>4</v>
      </c>
      <c r="F16" s="13" t="s">
        <v>187</v>
      </c>
      <c r="G16" s="211">
        <v>5.5</v>
      </c>
      <c r="H16" t="s">
        <v>48</v>
      </c>
      <c r="J16" s="33"/>
    </row>
    <row r="17" spans="2:10">
      <c r="B17" s="5" t="s">
        <v>272</v>
      </c>
      <c r="C17" s="5">
        <f>C15*C16</f>
        <v>404</v>
      </c>
      <c r="F17" s="13" t="s">
        <v>279</v>
      </c>
      <c r="G17" s="1">
        <v>345</v>
      </c>
      <c r="H17" t="s">
        <v>46</v>
      </c>
      <c r="J17" s="33"/>
    </row>
    <row r="18" spans="2:10" s="39" customFormat="1">
      <c r="B18" s="38" t="s">
        <v>273</v>
      </c>
      <c r="C18" s="41">
        <v>18</v>
      </c>
      <c r="F18" s="34" t="s">
        <v>280</v>
      </c>
      <c r="G18" s="127">
        <f>G17*G11+I13</f>
        <v>25980</v>
      </c>
      <c r="H18" s="32"/>
      <c r="I18" s="32"/>
      <c r="J18" s="55"/>
    </row>
    <row r="19" spans="2:10">
      <c r="B19" s="5" t="s">
        <v>274</v>
      </c>
      <c r="C19" s="5">
        <v>4</v>
      </c>
      <c r="F19" s="43"/>
      <c r="G19" s="44"/>
      <c r="H19" s="44"/>
      <c r="I19" s="44"/>
      <c r="J19" s="45"/>
    </row>
    <row r="20" spans="2:10">
      <c r="B20" s="5"/>
      <c r="C20" s="5">
        <f>C19*C18</f>
        <v>72</v>
      </c>
      <c r="F20" s="40" t="s">
        <v>270</v>
      </c>
      <c r="G20" s="54">
        <f>G18*2</f>
        <v>51960</v>
      </c>
      <c r="H20" s="54"/>
      <c r="I20" s="54"/>
      <c r="J20" s="33"/>
    </row>
    <row r="21" spans="2:10">
      <c r="B21" s="5" t="s">
        <v>205</v>
      </c>
      <c r="C21" s="5">
        <f>C17+C20</f>
        <v>476</v>
      </c>
      <c r="F21" s="13"/>
      <c r="J21" s="33"/>
    </row>
    <row r="22" spans="2:10">
      <c r="B22" s="5" t="s">
        <v>207</v>
      </c>
      <c r="C22" s="9">
        <f>C21*C14</f>
        <v>11781</v>
      </c>
      <c r="F22" s="43"/>
      <c r="G22" s="44"/>
      <c r="H22" s="44"/>
      <c r="I22" s="44"/>
      <c r="J22" s="45"/>
    </row>
    <row r="23" spans="2:10">
      <c r="F23" s="13"/>
      <c r="J23" s="33"/>
    </row>
    <row r="24" spans="2:10">
      <c r="B24" s="212"/>
      <c r="C24" s="212"/>
      <c r="F24" s="248" t="s">
        <v>281</v>
      </c>
      <c r="G24" s="249"/>
      <c r="H24" s="249"/>
      <c r="I24" s="249"/>
      <c r="J24" s="250"/>
    </row>
    <row r="25" spans="2:10">
      <c r="B25" s="212"/>
      <c r="C25" s="212"/>
      <c r="F25" s="13" t="s">
        <v>265</v>
      </c>
      <c r="G25" s="1">
        <v>32</v>
      </c>
      <c r="H25" t="s">
        <v>48</v>
      </c>
      <c r="J25" s="33"/>
    </row>
    <row r="26" spans="2:10">
      <c r="B26" s="212"/>
      <c r="C26" s="212"/>
      <c r="F26" s="13" t="s">
        <v>187</v>
      </c>
      <c r="G26" s="1">
        <v>3</v>
      </c>
      <c r="H26" t="s">
        <v>48</v>
      </c>
      <c r="J26" s="33"/>
    </row>
    <row r="27" spans="2:10">
      <c r="B27" s="212"/>
      <c r="C27" s="212"/>
      <c r="F27" s="13" t="s">
        <v>279</v>
      </c>
      <c r="G27" s="1">
        <f>G25*G26</f>
        <v>96</v>
      </c>
      <c r="H27" t="s">
        <v>46</v>
      </c>
      <c r="J27" s="33"/>
    </row>
    <row r="28" spans="2:10">
      <c r="B28" s="212"/>
      <c r="C28" s="212"/>
      <c r="F28" s="34" t="s">
        <v>280</v>
      </c>
      <c r="G28" s="56">
        <f>G27*G11</f>
        <v>5760</v>
      </c>
      <c r="H28" s="32"/>
      <c r="I28" s="32"/>
      <c r="J28" s="35"/>
    </row>
    <row r="29" spans="2:10">
      <c r="B29" s="212"/>
      <c r="C29" s="212"/>
    </row>
    <row r="30" spans="2:10">
      <c r="B30" s="212"/>
      <c r="C30" s="213"/>
    </row>
    <row r="31" spans="2:10">
      <c r="B31" s="212"/>
      <c r="C31" s="213"/>
    </row>
    <row r="32" spans="2:10">
      <c r="B32" s="212"/>
      <c r="C32" s="213"/>
    </row>
    <row r="33" spans="2:7">
      <c r="B33" s="212"/>
      <c r="C33" s="212"/>
    </row>
    <row r="34" spans="2:7">
      <c r="B34" s="212"/>
      <c r="C34" s="212"/>
      <c r="G34" s="8" t="s">
        <v>21</v>
      </c>
    </row>
  </sheetData>
  <mergeCells count="5">
    <mergeCell ref="F14:I14"/>
    <mergeCell ref="B2:D2"/>
    <mergeCell ref="F2:J2"/>
    <mergeCell ref="B13:C13"/>
    <mergeCell ref="F24:J2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B2:AK44"/>
  <sheetViews>
    <sheetView showGridLines="0" workbookViewId="0">
      <selection activeCell="AH20" sqref="AH20"/>
    </sheetView>
  </sheetViews>
  <sheetFormatPr defaultRowHeight="14.4"/>
  <cols>
    <col min="2" max="2" width="15.33203125" bestFit="1" customWidth="1"/>
    <col min="3" max="3" width="12" bestFit="1" customWidth="1"/>
    <col min="4" max="4" width="11.88671875" bestFit="1" customWidth="1"/>
    <col min="5" max="5" width="10" bestFit="1" customWidth="1"/>
    <col min="6" max="6" width="13.109375" bestFit="1" customWidth="1"/>
    <col min="8" max="8" width="10.6640625" bestFit="1" customWidth="1"/>
    <col min="10" max="10" width="11.6640625" bestFit="1" customWidth="1"/>
    <col min="12" max="12" width="11.88671875" bestFit="1" customWidth="1"/>
    <col min="13" max="13" width="13.109375" bestFit="1" customWidth="1"/>
    <col min="14" max="14" width="13.88671875" customWidth="1"/>
    <col min="21" max="21" width="10.6640625" bestFit="1" customWidth="1"/>
    <col min="26" max="26" width="9.6640625" bestFit="1" customWidth="1"/>
    <col min="27" max="27" width="9.6640625" customWidth="1"/>
    <col min="30" max="30" width="10.6640625" bestFit="1" customWidth="1"/>
    <col min="34" max="35" width="7.88671875" customWidth="1"/>
  </cols>
  <sheetData>
    <row r="2" spans="2:37">
      <c r="B2" s="242" t="s">
        <v>283</v>
      </c>
      <c r="C2" s="242"/>
      <c r="D2" s="242"/>
      <c r="E2" s="242"/>
      <c r="F2" s="242"/>
      <c r="G2" s="242"/>
      <c r="H2" s="242"/>
      <c r="I2" s="242"/>
      <c r="J2" s="242"/>
      <c r="K2" s="242"/>
    </row>
    <row r="3" spans="2:37">
      <c r="B3" s="242"/>
      <c r="C3" s="242"/>
      <c r="D3" s="242"/>
      <c r="E3" s="242"/>
      <c r="F3" s="242"/>
      <c r="G3" s="242"/>
      <c r="H3" s="242"/>
      <c r="I3" s="242"/>
      <c r="J3" s="242"/>
      <c r="K3" s="242"/>
    </row>
    <row r="4" spans="2:37" ht="33.6">
      <c r="B4" s="19"/>
      <c r="C4" s="19"/>
      <c r="D4" s="19"/>
      <c r="E4" s="19"/>
      <c r="F4" s="19"/>
      <c r="G4" s="19"/>
      <c r="H4" s="18"/>
      <c r="I4" s="18"/>
      <c r="J4" s="18"/>
      <c r="K4" s="18"/>
    </row>
    <row r="5" spans="2:37" ht="27" customHeight="1">
      <c r="B5" s="205" t="s">
        <v>24</v>
      </c>
      <c r="C5" s="205" t="s">
        <v>37</v>
      </c>
      <c r="D5" s="20"/>
      <c r="E5" s="241" t="s">
        <v>232</v>
      </c>
      <c r="F5" s="241"/>
      <c r="G5" s="241"/>
      <c r="H5" s="241"/>
      <c r="I5" s="241"/>
      <c r="J5" s="241"/>
      <c r="L5" s="241" t="s">
        <v>237</v>
      </c>
      <c r="M5" s="241"/>
      <c r="N5" s="241"/>
      <c r="O5" s="241"/>
      <c r="P5" s="241"/>
      <c r="Q5" s="241"/>
      <c r="R5" s="241"/>
      <c r="S5" s="241"/>
      <c r="T5" s="241"/>
      <c r="U5" s="241"/>
      <c r="W5" s="238" t="s">
        <v>244</v>
      </c>
      <c r="X5" s="239"/>
      <c r="Y5" s="239"/>
      <c r="Z5" s="239"/>
      <c r="AA5" s="239"/>
      <c r="AB5" s="239"/>
      <c r="AC5" s="239"/>
      <c r="AD5" s="239"/>
      <c r="AF5" s="238" t="s">
        <v>251</v>
      </c>
      <c r="AG5" s="239"/>
      <c r="AH5" s="239"/>
      <c r="AI5" s="239"/>
      <c r="AJ5" s="239"/>
      <c r="AK5" s="240"/>
    </row>
    <row r="6" spans="2:37" ht="58.5" customHeight="1">
      <c r="B6" s="25" t="s">
        <v>42</v>
      </c>
      <c r="C6" s="26">
        <f>0.5*0.22</f>
        <v>0.11</v>
      </c>
      <c r="D6" s="20"/>
      <c r="E6" s="143" t="s">
        <v>233</v>
      </c>
      <c r="F6" s="143" t="s">
        <v>234</v>
      </c>
      <c r="G6" s="143" t="s">
        <v>235</v>
      </c>
      <c r="H6" s="10" t="s">
        <v>285</v>
      </c>
      <c r="I6" s="3" t="s">
        <v>286</v>
      </c>
      <c r="J6" s="143" t="s">
        <v>236</v>
      </c>
      <c r="L6" s="3" t="s">
        <v>238</v>
      </c>
      <c r="M6" s="143" t="s">
        <v>234</v>
      </c>
      <c r="N6" s="3" t="s">
        <v>239</v>
      </c>
      <c r="O6" s="12" t="s">
        <v>36</v>
      </c>
      <c r="P6" s="12" t="s">
        <v>240</v>
      </c>
      <c r="Q6" s="23" t="s">
        <v>241</v>
      </c>
      <c r="R6" s="23" t="s">
        <v>242</v>
      </c>
      <c r="S6" s="12" t="s">
        <v>287</v>
      </c>
      <c r="T6" s="3" t="s">
        <v>286</v>
      </c>
      <c r="U6" s="143" t="s">
        <v>236</v>
      </c>
      <c r="W6" s="3" t="s">
        <v>288</v>
      </c>
      <c r="X6" s="3" t="s">
        <v>246</v>
      </c>
      <c r="Y6" s="3" t="s">
        <v>247</v>
      </c>
      <c r="Z6" s="12" t="s">
        <v>248</v>
      </c>
      <c r="AA6" s="12" t="s">
        <v>249</v>
      </c>
      <c r="AB6" s="12" t="s">
        <v>287</v>
      </c>
      <c r="AC6" s="3" t="s">
        <v>286</v>
      </c>
      <c r="AD6" s="14" t="s">
        <v>213</v>
      </c>
      <c r="AF6" s="3" t="s">
        <v>252</v>
      </c>
      <c r="AG6" s="23" t="s">
        <v>253</v>
      </c>
      <c r="AH6" s="3" t="s">
        <v>202</v>
      </c>
      <c r="AI6" s="3" t="s">
        <v>254</v>
      </c>
      <c r="AJ6" s="3" t="s">
        <v>255</v>
      </c>
      <c r="AK6" s="12" t="s">
        <v>16</v>
      </c>
    </row>
    <row r="7" spans="2:37" ht="19.5" customHeight="1">
      <c r="B7" s="25" t="s">
        <v>43</v>
      </c>
      <c r="C7" s="26">
        <f>0.6*0.22</f>
        <v>0.13200000000000001</v>
      </c>
      <c r="D7" s="20"/>
      <c r="E7" s="22">
        <f>$C$10</f>
        <v>0.11</v>
      </c>
      <c r="F7" s="2">
        <f>C13</f>
        <v>5</v>
      </c>
      <c r="G7" s="2">
        <f>F7*E7</f>
        <v>0.55000000000000004</v>
      </c>
      <c r="H7" s="10">
        <f>G7*'BANCO DE DADOS'!$V$13</f>
        <v>234.30330000000004</v>
      </c>
      <c r="I7" s="2">
        <f>C11</f>
        <v>10</v>
      </c>
      <c r="J7" s="9">
        <f>I7*H7</f>
        <v>2343.0330000000004</v>
      </c>
      <c r="L7" s="2">
        <v>8</v>
      </c>
      <c r="M7" s="2">
        <f>$C$13</f>
        <v>5</v>
      </c>
      <c r="N7" s="2">
        <f>M7*L7</f>
        <v>40</v>
      </c>
      <c r="O7" s="24">
        <v>12.5</v>
      </c>
      <c r="P7" s="5">
        <f>IF(M7&lt;=6,6,12)</f>
        <v>6</v>
      </c>
      <c r="Q7" s="5">
        <f>VLOOKUP(O7,'BANCO DE DADOS'!$I$5:$J$14,2,'BANCO DE DADOS'!$J$5:$J$14)</f>
        <v>94.07</v>
      </c>
      <c r="R7" s="5">
        <f>IF(P7&gt;6,Q7,(Q7/2))</f>
        <v>47.034999999999997</v>
      </c>
      <c r="S7" s="10">
        <f>R7*L7</f>
        <v>376.28</v>
      </c>
      <c r="T7" s="2">
        <f>$C$11</f>
        <v>10</v>
      </c>
      <c r="U7" s="9">
        <f>T7*S7</f>
        <v>3762.7999999999997</v>
      </c>
      <c r="W7" s="2">
        <f>$C$13</f>
        <v>5</v>
      </c>
      <c r="X7" s="15">
        <f>(W7/0.15)+1</f>
        <v>34.333333333333336</v>
      </c>
      <c r="Y7" s="2">
        <v>1.3</v>
      </c>
      <c r="Z7" s="10">
        <f>Y7*X7</f>
        <v>44.63333333333334</v>
      </c>
      <c r="AA7" s="10">
        <f>'BANCO DE DADOS'!$M$5</f>
        <v>1.325</v>
      </c>
      <c r="AB7" s="10">
        <f>AA7*Z7</f>
        <v>59.139166666666675</v>
      </c>
      <c r="AC7" s="2">
        <f>C11</f>
        <v>10</v>
      </c>
      <c r="AD7" s="9">
        <f>AC7*AB7</f>
        <v>591.39166666666677</v>
      </c>
      <c r="AF7" s="5">
        <f>C11*2</f>
        <v>20</v>
      </c>
      <c r="AG7" s="2">
        <v>12.5</v>
      </c>
      <c r="AH7" s="24">
        <f>VLOOKUP(AG7,'BANCO DE DADOS'!I5:M14,5,'BANCO DE DADOS'!M5:M14)</f>
        <v>7.8391666666666664</v>
      </c>
      <c r="AI7" s="15">
        <v>1.2</v>
      </c>
      <c r="AJ7" s="2">
        <f>(AF7*AI7)</f>
        <v>24</v>
      </c>
      <c r="AK7" s="10">
        <f>AJ7*AH7</f>
        <v>188.14</v>
      </c>
    </row>
    <row r="8" spans="2:37" ht="15" customHeight="1">
      <c r="B8" s="25" t="s">
        <v>52</v>
      </c>
      <c r="C8" s="25">
        <f>0.3*0.2</f>
        <v>0.06</v>
      </c>
      <c r="D8" s="20"/>
      <c r="E8" s="22">
        <f t="shared" ref="E8:E9" si="0">$C$10</f>
        <v>0.11</v>
      </c>
      <c r="F8" s="2">
        <v>5</v>
      </c>
      <c r="G8" s="2">
        <f t="shared" ref="G8:G9" si="1">F8*E8</f>
        <v>0.55000000000000004</v>
      </c>
      <c r="H8" s="10">
        <f>G8*'BANCO DE DADOS'!$V$13</f>
        <v>234.30330000000004</v>
      </c>
      <c r="I8" s="2">
        <v>0</v>
      </c>
      <c r="J8" s="9">
        <f t="shared" ref="J8:J9" si="2">I8*H8</f>
        <v>0</v>
      </c>
      <c r="L8" s="2">
        <v>4</v>
      </c>
      <c r="M8" s="2">
        <f t="shared" ref="M8:M10" si="3">$C$13</f>
        <v>5</v>
      </c>
      <c r="N8" s="2">
        <f t="shared" ref="N8:N9" si="4">M8*L8</f>
        <v>20</v>
      </c>
      <c r="O8" s="24">
        <v>10</v>
      </c>
      <c r="P8" s="5">
        <f t="shared" ref="P8:P9" si="5">IF(M8&lt;=6,6,12)</f>
        <v>6</v>
      </c>
      <c r="Q8" s="5">
        <f>VLOOKUP(O8,'BANCO DE DADOS'!$I$5:$J$14,2,'BANCO DE DADOS'!$J$5:$J$14)</f>
        <v>61.76</v>
      </c>
      <c r="R8" s="5">
        <f t="shared" ref="R8:R9" si="6">IF(P8&gt;6,Q8,(Q8/2))</f>
        <v>30.88</v>
      </c>
      <c r="S8" s="10">
        <f t="shared" ref="S8:S9" si="7">R8*L8</f>
        <v>123.52</v>
      </c>
      <c r="T8" s="2">
        <f>$C$11</f>
        <v>10</v>
      </c>
      <c r="U8" s="9">
        <f t="shared" ref="U8:U9" si="8">T8*S8</f>
        <v>1235.2</v>
      </c>
      <c r="W8" s="2">
        <f t="shared" ref="W8:W9" si="9">$C$13</f>
        <v>5</v>
      </c>
      <c r="X8" s="15">
        <f>(W8/0.15)+1</f>
        <v>34.333333333333336</v>
      </c>
      <c r="Y8" s="2">
        <v>1.3</v>
      </c>
      <c r="Z8" s="10">
        <f t="shared" ref="Z8:Z9" si="10">Y8*X8</f>
        <v>44.63333333333334</v>
      </c>
      <c r="AA8" s="10">
        <f>'BANCO DE DADOS'!$M$5</f>
        <v>1.325</v>
      </c>
      <c r="AB8" s="10">
        <f t="shared" ref="AB8:AB9" si="11">AA8*Z8</f>
        <v>59.139166666666675</v>
      </c>
      <c r="AC8" s="2">
        <v>0</v>
      </c>
      <c r="AD8" s="9">
        <f>AC8*AB8</f>
        <v>0</v>
      </c>
    </row>
    <row r="9" spans="2:37" ht="15" thickBot="1">
      <c r="B9" s="29"/>
      <c r="C9" s="29"/>
      <c r="D9" s="21"/>
      <c r="E9" s="22">
        <f t="shared" si="0"/>
        <v>0.11</v>
      </c>
      <c r="F9" s="2">
        <v>68</v>
      </c>
      <c r="G9" s="2">
        <f t="shared" si="1"/>
        <v>7.48</v>
      </c>
      <c r="H9" s="10">
        <f>G9*'BANCO DE DADOS'!$V$13</f>
        <v>3186.5248800000004</v>
      </c>
      <c r="I9" s="2">
        <v>0</v>
      </c>
      <c r="J9" s="9">
        <f t="shared" si="2"/>
        <v>0</v>
      </c>
      <c r="L9" s="2">
        <v>8</v>
      </c>
      <c r="M9" s="2">
        <f t="shared" si="3"/>
        <v>5</v>
      </c>
      <c r="N9" s="2">
        <f t="shared" si="4"/>
        <v>40</v>
      </c>
      <c r="O9" s="24">
        <v>12.5</v>
      </c>
      <c r="P9" s="5">
        <f t="shared" si="5"/>
        <v>6</v>
      </c>
      <c r="Q9" s="5">
        <f>VLOOKUP(O9,'BANCO DE DADOS'!$I$5:$J$14,2,'BANCO DE DADOS'!$J$5:$J$14)</f>
        <v>94.07</v>
      </c>
      <c r="R9" s="5">
        <f t="shared" si="6"/>
        <v>47.034999999999997</v>
      </c>
      <c r="S9" s="10">
        <f t="shared" si="7"/>
        <v>376.28</v>
      </c>
      <c r="T9" s="2">
        <v>0</v>
      </c>
      <c r="U9" s="9">
        <f t="shared" si="8"/>
        <v>0</v>
      </c>
      <c r="W9" s="2">
        <f t="shared" si="9"/>
        <v>5</v>
      </c>
      <c r="X9" s="15">
        <f>(W9/0.15)+1</f>
        <v>34.333333333333336</v>
      </c>
      <c r="Y9" s="2">
        <v>1.3</v>
      </c>
      <c r="Z9" s="10">
        <f t="shared" si="10"/>
        <v>44.63333333333334</v>
      </c>
      <c r="AA9" s="10">
        <f>'BANCO DE DADOS'!$M$5</f>
        <v>1.325</v>
      </c>
      <c r="AB9" s="10">
        <f t="shared" si="11"/>
        <v>59.139166666666675</v>
      </c>
      <c r="AC9" s="2">
        <v>0</v>
      </c>
      <c r="AD9" s="16">
        <f>AC9*AB9</f>
        <v>0</v>
      </c>
    </row>
    <row r="10" spans="2:37">
      <c r="B10" s="30" t="s">
        <v>214</v>
      </c>
      <c r="C10" s="207">
        <f>C6</f>
        <v>0.11</v>
      </c>
      <c r="D10" s="21"/>
      <c r="E10" s="28"/>
      <c r="F10" s="1"/>
      <c r="G10" s="1"/>
      <c r="H10" s="11"/>
      <c r="I10" s="1"/>
      <c r="J10" s="8"/>
      <c r="L10" s="2">
        <v>4</v>
      </c>
      <c r="M10" s="2">
        <f t="shared" si="3"/>
        <v>5</v>
      </c>
      <c r="N10" s="2">
        <f t="shared" ref="N10" si="12">M10*L10</f>
        <v>20</v>
      </c>
      <c r="O10" s="24">
        <v>10</v>
      </c>
      <c r="P10" s="5">
        <f t="shared" ref="P10" si="13">IF(M10&lt;=6,6,12)</f>
        <v>6</v>
      </c>
      <c r="Q10" s="5">
        <f>VLOOKUP(O10,'BANCO DE DADOS'!$I$5:$J$14,2,'BANCO DE DADOS'!$J$5:$J$14)</f>
        <v>61.76</v>
      </c>
      <c r="R10" s="5">
        <f t="shared" ref="R10" si="14">IF(P10&gt;6,Q10,(Q10/2))</f>
        <v>30.88</v>
      </c>
      <c r="S10" s="10">
        <f t="shared" ref="S10" si="15">R10*L10</f>
        <v>123.52</v>
      </c>
      <c r="T10" s="2">
        <v>0</v>
      </c>
      <c r="U10" s="9">
        <f t="shared" ref="U10" si="16">T10*S10</f>
        <v>0</v>
      </c>
      <c r="W10" s="1"/>
      <c r="X10" s="17"/>
      <c r="Y10" s="1"/>
      <c r="Z10" s="11"/>
      <c r="AA10" s="11"/>
      <c r="AB10" s="11"/>
      <c r="AC10" s="1"/>
      <c r="AD10" s="8"/>
    </row>
    <row r="11" spans="2:37" ht="31.8" thickBot="1">
      <c r="B11" s="31" t="s">
        <v>282</v>
      </c>
      <c r="C11" s="214">
        <v>10</v>
      </c>
    </row>
    <row r="12" spans="2:37" ht="15.6">
      <c r="B12" s="20" t="s">
        <v>216</v>
      </c>
      <c r="C12">
        <f>C11*C13</f>
        <v>50</v>
      </c>
    </row>
    <row r="13" spans="2:37" ht="15.6">
      <c r="B13" s="20" t="s">
        <v>35</v>
      </c>
      <c r="C13" s="215">
        <v>5</v>
      </c>
    </row>
    <row r="14" spans="2:37">
      <c r="B14" s="251" t="s">
        <v>217</v>
      </c>
      <c r="C14" s="251"/>
    </row>
    <row r="15" spans="2:37">
      <c r="B15" s="5" t="s">
        <v>218</v>
      </c>
      <c r="C15" s="10">
        <f>SUM(J7:J9)</f>
        <v>2343.0330000000004</v>
      </c>
    </row>
    <row r="16" spans="2:37">
      <c r="B16" s="5" t="s">
        <v>219</v>
      </c>
      <c r="C16" s="10">
        <f>SUM(U7:U10)</f>
        <v>4998</v>
      </c>
    </row>
    <row r="17" spans="2:15">
      <c r="B17" s="5" t="s">
        <v>220</v>
      </c>
      <c r="C17" s="10">
        <f>SUM(AD7:AD9)</f>
        <v>591.39166666666677</v>
      </c>
      <c r="O17" s="4"/>
    </row>
    <row r="18" spans="2:15">
      <c r="B18" s="5" t="s">
        <v>284</v>
      </c>
      <c r="C18" s="112">
        <f>0*AC7</f>
        <v>0</v>
      </c>
      <c r="D18" s="1"/>
      <c r="E18" s="11"/>
    </row>
    <row r="19" spans="2:15">
      <c r="B19" s="5" t="s">
        <v>222</v>
      </c>
      <c r="C19" s="10">
        <f>AK7</f>
        <v>188.14</v>
      </c>
    </row>
    <row r="20" spans="2:15">
      <c r="B20" s="5" t="s">
        <v>223</v>
      </c>
      <c r="C20" s="112"/>
    </row>
    <row r="21" spans="2:15">
      <c r="B21" s="5" t="s">
        <v>21</v>
      </c>
      <c r="C21" s="112"/>
    </row>
    <row r="22" spans="2:15">
      <c r="B22" s="5" t="s">
        <v>212</v>
      </c>
      <c r="C22" s="125">
        <f>SUM(C15:C20)</f>
        <v>8120.5646666666671</v>
      </c>
    </row>
    <row r="23" spans="2:15">
      <c r="B23" s="5" t="s">
        <v>227</v>
      </c>
      <c r="C23" s="5">
        <f>C22/C12</f>
        <v>162.41129333333333</v>
      </c>
    </row>
    <row r="24" spans="2:15">
      <c r="B24" s="5" t="s">
        <v>285</v>
      </c>
      <c r="C24" s="9">
        <f>C22/C11</f>
        <v>812.05646666666667</v>
      </c>
    </row>
    <row r="25" spans="2:15">
      <c r="C25" s="1"/>
      <c r="D25" s="1"/>
      <c r="E25" s="11"/>
    </row>
    <row r="26" spans="2:15">
      <c r="I26" s="13"/>
    </row>
    <row r="31" spans="2:15">
      <c r="B31" s="1"/>
      <c r="C31" s="17"/>
      <c r="D31" s="1"/>
      <c r="E31" s="11"/>
      <c r="F31" s="11"/>
      <c r="G31" s="1"/>
      <c r="H31" s="8"/>
    </row>
    <row r="33" spans="3:13">
      <c r="F33" s="11"/>
      <c r="G33" s="1"/>
      <c r="H33" s="8"/>
    </row>
    <row r="34" spans="3:13">
      <c r="F34" s="11"/>
      <c r="G34" s="1"/>
      <c r="H34" s="8"/>
    </row>
    <row r="35" spans="3:13">
      <c r="C35" s="1"/>
      <c r="D35" s="1"/>
      <c r="E35" s="11"/>
      <c r="K35" s="8"/>
    </row>
    <row r="36" spans="3:13">
      <c r="D36" s="1"/>
      <c r="E36" s="11"/>
    </row>
    <row r="37" spans="3:13">
      <c r="D37" s="1"/>
      <c r="E37" s="11"/>
      <c r="I37" s="4"/>
      <c r="K37" s="4"/>
      <c r="M37" s="4"/>
    </row>
    <row r="38" spans="3:13">
      <c r="D38" s="1"/>
      <c r="E38" s="11"/>
      <c r="L38" s="6"/>
    </row>
    <row r="39" spans="3:13">
      <c r="D39" s="1"/>
      <c r="E39" s="11"/>
      <c r="L39" s="6"/>
    </row>
    <row r="40" spans="3:13">
      <c r="D40" s="1"/>
      <c r="E40" s="11"/>
      <c r="L40" s="6"/>
    </row>
    <row r="41" spans="3:13">
      <c r="D41" s="1"/>
      <c r="E41" s="11"/>
    </row>
    <row r="42" spans="3:13">
      <c r="D42" s="1"/>
      <c r="E42" s="11"/>
    </row>
    <row r="43" spans="3:13">
      <c r="D43" s="1"/>
      <c r="E43" s="11"/>
    </row>
    <row r="44" spans="3:13">
      <c r="C44" s="1"/>
      <c r="D44" s="1"/>
      <c r="E44" s="11"/>
    </row>
  </sheetData>
  <mergeCells count="6">
    <mergeCell ref="AF5:AK5"/>
    <mergeCell ref="B14:C14"/>
    <mergeCell ref="B2:K3"/>
    <mergeCell ref="E5:J5"/>
    <mergeCell ref="L5:U5"/>
    <mergeCell ref="W5:AD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B3:C5"/>
  <sheetViews>
    <sheetView workbookViewId="0">
      <selection activeCell="E12" sqref="E12"/>
    </sheetView>
  </sheetViews>
  <sheetFormatPr defaultRowHeight="14.4"/>
  <cols>
    <col min="2" max="2" width="11.6640625" bestFit="1" customWidth="1"/>
  </cols>
  <sheetData>
    <row r="3" spans="2:3">
      <c r="B3" s="37">
        <v>10</v>
      </c>
      <c r="C3" s="5" t="s">
        <v>47</v>
      </c>
    </row>
    <row r="4" spans="2:3">
      <c r="B4" s="9">
        <v>160</v>
      </c>
      <c r="C4" s="5" t="s">
        <v>46</v>
      </c>
    </row>
    <row r="5" spans="2:3">
      <c r="B5" s="116">
        <f>B4*B3</f>
        <v>1600</v>
      </c>
      <c r="C5" s="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5" sqref="C5"/>
    </sheetView>
  </sheetViews>
  <sheetFormatPr defaultRowHeight="14.4"/>
  <cols>
    <col min="2" max="2" width="11.88671875" customWidth="1"/>
    <col min="3" max="3" width="11.6640625" bestFit="1" customWidth="1"/>
  </cols>
  <sheetData>
    <row r="1" spans="1:3">
      <c r="A1" t="s">
        <v>53</v>
      </c>
    </row>
    <row r="4" spans="1:3">
      <c r="B4" s="43" t="s">
        <v>261</v>
      </c>
      <c r="C4" s="123">
        <v>350</v>
      </c>
    </row>
    <row r="5" spans="1:3">
      <c r="B5" s="13"/>
      <c r="C5" s="33"/>
    </row>
    <row r="6" spans="1:3">
      <c r="B6" s="13" t="s">
        <v>188</v>
      </c>
      <c r="C6" s="133">
        <v>5</v>
      </c>
    </row>
    <row r="7" spans="1:3">
      <c r="B7" s="13" t="s">
        <v>187</v>
      </c>
      <c r="C7" s="133">
        <v>5</v>
      </c>
    </row>
    <row r="8" spans="1:3">
      <c r="B8" s="13" t="s">
        <v>200</v>
      </c>
      <c r="C8" s="33">
        <f>C7*C6</f>
        <v>25</v>
      </c>
    </row>
    <row r="9" spans="1:3">
      <c r="B9" s="13" t="s">
        <v>262</v>
      </c>
      <c r="C9" s="49">
        <f>C8*C4</f>
        <v>8750</v>
      </c>
    </row>
    <row r="10" spans="1:3">
      <c r="B10" s="13" t="s">
        <v>263</v>
      </c>
      <c r="C10" s="33">
        <v>2</v>
      </c>
    </row>
    <row r="11" spans="1:3">
      <c r="B11" s="34"/>
      <c r="C11" s="124">
        <f>C9*C10</f>
        <v>17500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PDF COMPLEXO</vt:lpstr>
      <vt:lpstr>PDF SIMPLES</vt:lpstr>
      <vt:lpstr>BANCO DE DADOS</vt:lpstr>
      <vt:lpstr>ENTRADA</vt:lpstr>
      <vt:lpstr>COBERTURA</vt:lpstr>
      <vt:lpstr>PILARES</vt:lpstr>
      <vt:lpstr>CÁLICES</vt:lpstr>
      <vt:lpstr>FECHAMENTOS</vt:lpstr>
      <vt:lpstr>VIGAS</vt:lpstr>
      <vt:lpstr>LAJE</vt:lpstr>
      <vt:lpstr>PORTÃO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Ugv</dc:creator>
  <dc:description/>
  <cp:lastModifiedBy>Serralheria Leão</cp:lastModifiedBy>
  <cp:revision>1</cp:revision>
  <cp:lastPrinted>2025-07-07T14:11:28Z</cp:lastPrinted>
  <dcterms:created xsi:type="dcterms:W3CDTF">2024-07-24T13:19:40Z</dcterms:created>
  <dcterms:modified xsi:type="dcterms:W3CDTF">2025-09-23T14:37:45Z</dcterms:modified>
  <dc:language>pt-BR</dc:language>
</cp:coreProperties>
</file>